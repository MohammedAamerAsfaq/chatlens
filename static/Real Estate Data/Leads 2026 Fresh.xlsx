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Arada Masaar" sheetId="1" r:id="rId2"/>
    <sheet name="Peacehome DLRC" sheetId="2" r:id="rId3"/>
    <sheet name="Danube Apartment UK" sheetId="3" r:id="rId4"/>
    <sheet name="Sheet7" sheetId="4" r:id="rId5"/>
    <sheet name="Ora Bayn - Europe  UAE" sheetId="5" r:id="rId6"/>
    <sheet name="Passo Beyond - Europe" sheetId="6" r:id="rId7"/>
  </sheets>
  <definedNames>
    <definedName name="_xlnm._FilterDatabase" localSheetId="2">'Danube Apartment UK'!$A$1:$X$2156</definedName>
    <definedName name="_xlnm._FilterDatabase" localSheetId="1">'Peacehome DLRC'!$A$1:$X$1172</definedName>
    <definedName name="_xlnm._FilterDatabase" localSheetId="1" hidden="1">Peacehome DLRC!A1:X1172</definedName>
    <definedName name="_xlnm._FilterDatabase" localSheetId="2" hidden="1">Danube Apartment UK!A1:X2156</definedName>
  </definedNames>
</workbook>
</file>

<file path=xl/sharedStrings.xml><?xml version="1.0" encoding="utf-8"?>
<sst xmlns="http://schemas.openxmlformats.org/spreadsheetml/2006/main" count="2876" uniqueCount="910">
  <si>
    <t>created_time</t>
  </si>
  <si>
    <t>campaign_name</t>
  </si>
  <si>
    <t>platform</t>
  </si>
  <si>
    <t>Which property are you interested in?</t>
  </si>
  <si>
    <t>full_name</t>
  </si>
  <si>
    <t>email</t>
  </si>
  <si>
    <t>phone_number</t>
  </si>
  <si>
    <t>whstasppp number (optional)</t>
  </si>
  <si>
    <t>country</t>
  </si>
  <si>
    <t>test lead: dummy data for which_property_are_you_interested_in?</t>
  </si>
  <si>
    <t>test lead: dummy data for full_name</t>
  </si>
  <si>
    <t>test@meta.com</t>
  </si>
  <si>
    <t>test lead: dummy data for work_phone_number</t>
  </si>
  <si>
    <t>test lead: dummy data for whatsapp_number</t>
  </si>
  <si>
    <t>Feb 26 - Arada Masaar</t>
  </si>
  <si>
    <t>fb</t>
  </si>
  <si>
    <t>2 Bedroom Townhouse (From AED 2M)</t>
  </si>
  <si>
    <t>Joy Shree Ram</t>
  </si>
  <si>
    <t>shuvoshill611@gmail.com</t>
  </si>
  <si>
    <t>4 Bedroom Villa (From AED 4.4M)</t>
  </si>
  <si>
    <t>Tejas Khakhkhar</t>
  </si>
  <si>
    <t>khakhkhartejas4@gmail.com</t>
  </si>
  <si>
    <t>Sudip Tamang</t>
  </si>
  <si>
    <t>goles6553@icloud.com</t>
  </si>
  <si>
    <t>4 Bedroom Townhouse</t>
  </si>
  <si>
    <t>Mostafa Elsayed</t>
  </si>
  <si>
    <t>anatruante@gmail.com</t>
  </si>
  <si>
    <t>Fuad Eid</t>
  </si>
  <si>
    <t>fuad.bishara@gmail.com</t>
  </si>
  <si>
    <t>Jhonn L'homm</t>
  </si>
  <si>
    <t>w.morienmj@gmail.com</t>
  </si>
  <si>
    <t>i_am_interested_in</t>
  </si>
  <si>
    <t>purpose of buying</t>
  </si>
  <si>
    <t>work_phone_number</t>
  </si>
  <si>
    <t>test lead: dummy data for i_am_interested_to_buy</t>
  </si>
  <si>
    <t>test lead: dummy data for purpose_of_buying</t>
  </si>
  <si>
    <t>test@fb.com</t>
  </si>
  <si>
    <t>test lead: dummy data for phone_number</t>
  </si>
  <si>
    <t>test lead: dummy data for country</t>
  </si>
  <si>
    <t>Jan 26 - PeacHome Skyline - DLRC</t>
  </si>
  <si>
    <t>2 Bedroom Apartment</t>
  </si>
  <si>
    <t>Tax Free Rental Return</t>
  </si>
  <si>
    <t>Dr Vikraman</t>
  </si>
  <si>
    <t>nvikram@fundala.com</t>
  </si>
  <si>
    <t>AE</t>
  </si>
  <si>
    <t>ig</t>
  </si>
  <si>
    <t>Studio Apartment</t>
  </si>
  <si>
    <t>Investment - For Investor</t>
  </si>
  <si>
    <t>Zahra</t>
  </si>
  <si>
    <t>zary_nezamdoost@yahoo.com</t>
  </si>
  <si>
    <t>1 Bedroom Apartment</t>
  </si>
  <si>
    <t>End User - to live in Dubai</t>
  </si>
  <si>
    <t>Robert Thomas</t>
  </si>
  <si>
    <t>robertthomas0252@gmail.com</t>
  </si>
  <si>
    <t>IN</t>
  </si>
  <si>
    <t>HH</t>
  </si>
  <si>
    <t>harouachehajar@outlook.fr</t>
  </si>
  <si>
    <t>United Arab Emirates</t>
  </si>
  <si>
    <t>Ricardo Recco</t>
  </si>
  <si>
    <t>ricardorecco@hotmail.com</t>
  </si>
  <si>
    <t>Mehran Hosseinnia</t>
  </si>
  <si>
    <t>yaran296@gmail.com</t>
  </si>
  <si>
    <t>Jerold Dimaano</t>
  </si>
  <si>
    <t>dimaanojerold@gmail.com</t>
  </si>
  <si>
    <t>Cris Tina</t>
  </si>
  <si>
    <t>crissdp703@gmail.com</t>
  </si>
  <si>
    <t>RO</t>
  </si>
  <si>
    <t>Carlo</t>
  </si>
  <si>
    <t>Sydneykingscross@yahoo.it</t>
  </si>
  <si>
    <t>Manaitsy Zay Avao</t>
  </si>
  <si>
    <t>manaotsyzayavao93@gmail.com</t>
  </si>
  <si>
    <t>Karim Gamal</t>
  </si>
  <si>
    <t>karimgami673@gmail.com</t>
  </si>
  <si>
    <t>India</t>
  </si>
  <si>
    <t>Oliver Harb</t>
  </si>
  <si>
    <t>oli_trolli@hotmail.com</t>
  </si>
  <si>
    <t>70 636 977</t>
  </si>
  <si>
    <t>Sovan Sanjiv pradhan</t>
  </si>
  <si>
    <t>sovansanjiv@gmail.com</t>
  </si>
  <si>
    <t>Shantha</t>
  </si>
  <si>
    <t>santhackadv@gmail.com</t>
  </si>
  <si>
    <t>Michelle Qu</t>
  </si>
  <si>
    <t>978829073@qq.com</t>
  </si>
  <si>
    <t>Marina Tom Sleiman</t>
  </si>
  <si>
    <t>marina.sleiman@hotmail.com</t>
  </si>
  <si>
    <t>Shamim</t>
  </si>
  <si>
    <t>shamim.ach@gmail.com</t>
  </si>
  <si>
    <t>Ahmed Khan</t>
  </si>
  <si>
    <t>ahmadkhan1979007@gmail.com</t>
  </si>
  <si>
    <t>US</t>
  </si>
  <si>
    <t>Tatiana Cebanu</t>
  </si>
  <si>
    <t>cebanutatiana4@gmail.com</t>
  </si>
  <si>
    <t>Jamil Ahmed</t>
  </si>
  <si>
    <t>Ahmedmehmood-1@gmail.com</t>
  </si>
  <si>
    <t>Paul David</t>
  </si>
  <si>
    <t>paul.david08@gmail.com</t>
  </si>
  <si>
    <t>saif</t>
  </si>
  <si>
    <t>saifap7878@gmail.com</t>
  </si>
  <si>
    <t>Krishna Prasad</t>
  </si>
  <si>
    <t>skpkollegal@gmail.com</t>
  </si>
  <si>
    <t>GB</t>
  </si>
  <si>
    <t>Maher Barghouti</t>
  </si>
  <si>
    <t>maherwb91@gmail.com</t>
  </si>
  <si>
    <t>Dilafruz</t>
  </si>
  <si>
    <t>fruzdi@gmail.com</t>
  </si>
  <si>
    <t>shah</t>
  </si>
  <si>
    <t>yarmookdecor@gmail.com</t>
  </si>
  <si>
    <t>Andrea Roschiwal</t>
  </si>
  <si>
    <t>Andrea.rosival@gmail.com</t>
  </si>
  <si>
    <t>HU</t>
  </si>
  <si>
    <t>Fazila Salim</t>
  </si>
  <si>
    <t>fazila.salim.omar@gmail.com</t>
  </si>
  <si>
    <t>MZ</t>
  </si>
  <si>
    <t>Marjel</t>
  </si>
  <si>
    <t>marjelsula@hotmail.com</t>
  </si>
  <si>
    <t>Maria</t>
  </si>
  <si>
    <t>mariapinas@gmail.com</t>
  </si>
  <si>
    <t>Ziyad Saiada</t>
  </si>
  <si>
    <t>zakisaiada4@gmail.com</t>
  </si>
  <si>
    <t>Kaur Kaur</t>
  </si>
  <si>
    <t>wantjas460@gmail.com</t>
  </si>
  <si>
    <t>SG</t>
  </si>
  <si>
    <t>Fareed Abushaar</t>
  </si>
  <si>
    <t>Fareed.1659@gmail.com</t>
  </si>
  <si>
    <t>CQ</t>
  </si>
  <si>
    <t>Malek Asmar</t>
  </si>
  <si>
    <t>malek.asmar9@gmail.com</t>
  </si>
  <si>
    <t>LB</t>
  </si>
  <si>
    <t>Josephine Backus</t>
  </si>
  <si>
    <t>j8281099@gmail.com</t>
  </si>
  <si>
    <t>Inas</t>
  </si>
  <si>
    <t>inas.sd1991@gmail.com</t>
  </si>
  <si>
    <t>zahra abdallah</t>
  </si>
  <si>
    <t>zaranashy@gmail.com</t>
  </si>
  <si>
    <t>FR</t>
  </si>
  <si>
    <t>Owais Khan</t>
  </si>
  <si>
    <t>okhan_4u@yahoo.co.in</t>
  </si>
  <si>
    <t>Javed Inamdar</t>
  </si>
  <si>
    <t>javedsinamdar@gmail.com</t>
  </si>
  <si>
    <t>DZ</t>
  </si>
  <si>
    <t>𝕍𝕒𝕟𝕚𝕚 𝕂𝕣𝕚𝕤𝕙𝕟𝕒𝕟</t>
  </si>
  <si>
    <t>vanikrishnan05@gmail.com</t>
  </si>
  <si>
    <t>Reem Salama</t>
  </si>
  <si>
    <t>Reemkhaled15@hotmail.com</t>
  </si>
  <si>
    <t>Romana Malik</t>
  </si>
  <si>
    <t>romanamalik@hotmail.com</t>
  </si>
  <si>
    <t>Asfi  اصفیا  بنت حسين</t>
  </si>
  <si>
    <t>kulsumasfiya71@gmail.com</t>
  </si>
  <si>
    <t>Muhammad ASIF Ashique</t>
  </si>
  <si>
    <t>muhammad_asif48@yahoo.com</t>
  </si>
  <si>
    <t>PK</t>
  </si>
  <si>
    <t>Lubna Naseem</t>
  </si>
  <si>
    <t>lubnanaseem@hotmail.com</t>
  </si>
  <si>
    <t>Samy Moustafa moustafa</t>
  </si>
  <si>
    <t>samymoustafa2020@gmail.com</t>
  </si>
  <si>
    <t>Kshama Shah</t>
  </si>
  <si>
    <t>kshamakotadia@gmail.com</t>
  </si>
  <si>
    <t>PRatik LanGi</t>
  </si>
  <si>
    <t>pratiklangi@gmail.com</t>
  </si>
  <si>
    <t>Seetha Lakshmi</t>
  </si>
  <si>
    <t>seethamoorthy@gmail.com</t>
  </si>
  <si>
    <t>شيماء</t>
  </si>
  <si>
    <t>wnlleoooo183@gmail.com</t>
  </si>
  <si>
    <t>Subhanallh Alhamdulillh</t>
  </si>
  <si>
    <t>konakhanm701@gmail.com</t>
  </si>
  <si>
    <t>Z Cenidoza</t>
  </si>
  <si>
    <t>zche_21@yahoo.com</t>
  </si>
  <si>
    <t>Tahira Mohsin</t>
  </si>
  <si>
    <t>Mrstahiramohsin@gmail.com</t>
  </si>
  <si>
    <t>Amrin Shaikh</t>
  </si>
  <si>
    <t>amrins787@gmail.com</t>
  </si>
  <si>
    <t>Ameet Bhatia</t>
  </si>
  <si>
    <t>ameetbhatia@gmail.com</t>
  </si>
  <si>
    <t>Sreekumar</t>
  </si>
  <si>
    <t>Suryadigi002@gmail.com</t>
  </si>
  <si>
    <t>Angela pandelis</t>
  </si>
  <si>
    <t>Info@angelapandelis.com</t>
  </si>
  <si>
    <t>Lubna Lubna</t>
  </si>
  <si>
    <t>globalnet7865@gmail.com</t>
  </si>
  <si>
    <t>Piyu</t>
  </si>
  <si>
    <t>k080radhe@gmail.com</t>
  </si>
  <si>
    <t>Rouf Bin Abdul Rahman</t>
  </si>
  <si>
    <t>roupu391@gmail.comr</t>
  </si>
  <si>
    <t>Hossein Parvin</t>
  </si>
  <si>
    <t>Hosseinparvin36@gmail.com</t>
  </si>
  <si>
    <t>Rana AL Shoufi</t>
  </si>
  <si>
    <t>r.m.alshoufi@gmail.com</t>
  </si>
  <si>
    <t>Tejal Khot Patil</t>
  </si>
  <si>
    <t>tejalkhot2012@gmail.com</t>
  </si>
  <si>
    <t>Ruwan Dunuwila</t>
  </si>
  <si>
    <t>ruwandunuwila@yahoo.com</t>
  </si>
  <si>
    <t>LK</t>
  </si>
  <si>
    <t>يسري عادل يسري عادل</t>
  </si>
  <si>
    <t>alkhwajtmsr7@gmail.com</t>
  </si>
  <si>
    <t>EG</t>
  </si>
  <si>
    <t>Adil Mirza</t>
  </si>
  <si>
    <t>madil1981123@gmail.com</t>
  </si>
  <si>
    <t>Nazrin Niyas</t>
  </si>
  <si>
    <t>nazrinniyaza@gmail.com</t>
  </si>
  <si>
    <t>Latifa</t>
  </si>
  <si>
    <t>Tifaavery@gmail.com</t>
  </si>
  <si>
    <t>Raj Evergreen only message no calls</t>
  </si>
  <si>
    <t>Raj@baadubai.com</t>
  </si>
  <si>
    <t>Original muslim</t>
  </si>
  <si>
    <t>samirasuleymanova@gmail.com</t>
  </si>
  <si>
    <t>Lakmali Kosala</t>
  </si>
  <si>
    <t>lakmali198709@gmail.com</t>
  </si>
  <si>
    <t>Amelia Dumlao</t>
  </si>
  <si>
    <t>ame_dumlao@yahoo.com</t>
  </si>
  <si>
    <t>Eduardo</t>
  </si>
  <si>
    <t>Juu1346jotsu@gmail.com</t>
  </si>
  <si>
    <t>Bandita Aruk</t>
  </si>
  <si>
    <t>bandita.aruk@bankofbaroda.co.in</t>
  </si>
  <si>
    <t>Sara Sefisa</t>
  </si>
  <si>
    <t>sarasefisa455@gmail.com</t>
  </si>
  <si>
    <t>Eldho P Geoge</t>
  </si>
  <si>
    <t>neethuchristy01@gmail.com</t>
  </si>
  <si>
    <t>Warren Earl Bosco Hendricks</t>
  </si>
  <si>
    <t>197350brandon@gmail.com</t>
  </si>
  <si>
    <t>Chhaya Bundela</t>
  </si>
  <si>
    <t>chhayabulbul@gmail.com</t>
  </si>
  <si>
    <t>Lida Mohammadi</t>
  </si>
  <si>
    <t>lida.njobmail@gmail.com</t>
  </si>
  <si>
    <t>IR</t>
  </si>
  <si>
    <t>Melvin diacoma</t>
  </si>
  <si>
    <t>trumpfservice.melvin@gmail.com</t>
  </si>
  <si>
    <t>jannat awais</t>
  </si>
  <si>
    <t>ab6442480@gmail.com</t>
  </si>
  <si>
    <t>Gita Taherizadeh</t>
  </si>
  <si>
    <t>Gitaettehad@hotmail.com</t>
  </si>
  <si>
    <t>F.public</t>
  </si>
  <si>
    <t>fatmashariff@yahoo.com</t>
  </si>
  <si>
    <t>Shamin Dias</t>
  </si>
  <si>
    <t>dias.shamin@gmail.com</t>
  </si>
  <si>
    <t>Anmol Gurnani</t>
  </si>
  <si>
    <t>gurnani.anmol15@gmail.com</t>
  </si>
  <si>
    <t>Aung Min Thein</t>
  </si>
  <si>
    <t>khantaungminthein2025@gmail.com</t>
  </si>
  <si>
    <t>MM</t>
  </si>
  <si>
    <t>Shåni Prince</t>
  </si>
  <si>
    <t>zeeshan.zs107@gmail.com</t>
  </si>
  <si>
    <t>Shahjahan Zahid Sayed</t>
  </si>
  <si>
    <t>sayedshahjahan@gmail.com</t>
  </si>
  <si>
    <t>Gurmit Anand</t>
  </si>
  <si>
    <t>guneetk1@gmail.com</t>
  </si>
  <si>
    <t>Τζούλια Σον  쥴리아 손</t>
  </si>
  <si>
    <t>style_theory@naver.com</t>
  </si>
  <si>
    <t>Inaaya tanveer</t>
  </si>
  <si>
    <t>Info@financialpartners.ae</t>
  </si>
  <si>
    <t xml:space="preserve">she is lookig for partation </t>
  </si>
  <si>
    <t>phenphat</t>
  </si>
  <si>
    <t>phat.qmi@gmail.com</t>
  </si>
  <si>
    <t>CH</t>
  </si>
  <si>
    <t>𝙽𝚒𝚐𝚒𝚗𝚊 𝚂𝚊𝚗𝚓𝚊𝚛𝚘𝚟𝚊</t>
  </si>
  <si>
    <t>sanjarov.nigina@icloud.com</t>
  </si>
  <si>
    <t>Diana</t>
  </si>
  <si>
    <t>Dianaleedxb@gmail.com</t>
  </si>
  <si>
    <t>Mamdouh Tawfik</t>
  </si>
  <si>
    <t>mamdouhtawfik123@yahoo.com</t>
  </si>
  <si>
    <t>971508343515</t>
  </si>
  <si>
    <t>Deepa</t>
  </si>
  <si>
    <t>chitra.iyer18@gmail.com</t>
  </si>
  <si>
    <t>Savad Moidu</t>
  </si>
  <si>
    <t>abdulsavadpilakkeel@gmail.com</t>
  </si>
  <si>
    <t>Mohammed Usman</t>
  </si>
  <si>
    <t>muhammedshabaz992@gmail.com</t>
  </si>
  <si>
    <t>Shweta Saxena</t>
  </si>
  <si>
    <t>saxenashweta802@gmail.com</t>
  </si>
  <si>
    <t>Inamul Hasan</t>
  </si>
  <si>
    <t>inmhsn77@gmail.com</t>
  </si>
  <si>
    <t>Ayan</t>
  </si>
  <si>
    <t>Ayan27@gmail.com</t>
  </si>
  <si>
    <t>Juwana</t>
  </si>
  <si>
    <t>liljinx_666@hotmail.com</t>
  </si>
  <si>
    <t>Mina</t>
  </si>
  <si>
    <t>iminahassani@gmil.come</t>
  </si>
  <si>
    <t>Muhammad Ali</t>
  </si>
  <si>
    <t>aliajaz929@gmail.com</t>
  </si>
  <si>
    <t>Alexey Bogdanov</t>
  </si>
  <si>
    <t>bogalexey95@gmail.com</t>
  </si>
  <si>
    <t>Nada Ketbi</t>
  </si>
  <si>
    <t>nadaketbi@gmail.com</t>
  </si>
  <si>
    <t>Rima Maryaim</t>
  </si>
  <si>
    <t>rim.chabil@icloud.com</t>
  </si>
  <si>
    <t>Suunil Dutt</t>
  </si>
  <si>
    <t>suunildutt@gmail.com</t>
  </si>
  <si>
    <t>Nayana</t>
  </si>
  <si>
    <t>nayanashetty84@gmail.com</t>
  </si>
  <si>
    <t>IMEN RIAHI</t>
  </si>
  <si>
    <t>iman.riahi24@gmail.com</t>
  </si>
  <si>
    <t>Rozy Moudgil</t>
  </si>
  <si>
    <t>moudgilrozy8@gmail.com</t>
  </si>
  <si>
    <t>Mehjabeen</t>
  </si>
  <si>
    <t>xyz@gmail.com</t>
  </si>
  <si>
    <t>Nikunj Sarang</t>
  </si>
  <si>
    <t>niku_mital89@yahoo.co.in</t>
  </si>
  <si>
    <t>Mike</t>
  </si>
  <si>
    <t>mikev1307@yahoo.com</t>
  </si>
  <si>
    <t>asif</t>
  </si>
  <si>
    <t>tabtyping@gmail.com</t>
  </si>
  <si>
    <t>Hasinah Saleh</t>
  </si>
  <si>
    <t>hasinahsaleh@yahoo.com</t>
  </si>
  <si>
    <t>جولي النجار</t>
  </si>
  <si>
    <t>julie.najjar@outlook.com</t>
  </si>
  <si>
    <t>Flora</t>
  </si>
  <si>
    <t>flora.tursun@gmail.com</t>
  </si>
  <si>
    <t>Tun</t>
  </si>
  <si>
    <t>tunminhan1997@gmail.com</t>
  </si>
  <si>
    <t>ruth.diana@live.com</t>
  </si>
  <si>
    <t>Noof Almaazmi</t>
  </si>
  <si>
    <t>noufyaqoub@gmail.com</t>
  </si>
  <si>
    <t>Mani</t>
  </si>
  <si>
    <t>manimanibharathi271@gmail.com</t>
  </si>
  <si>
    <t>Rajesh Koul</t>
  </si>
  <si>
    <t>rajeshkoul1@yahoo.com</t>
  </si>
  <si>
    <t>Jiiytr</t>
  </si>
  <si>
    <t>high.brand44@gmail.com</t>
  </si>
  <si>
    <t>Merrin George</t>
  </si>
  <si>
    <t>merrin.george@hotmail.com</t>
  </si>
  <si>
    <t>Shona Chandel</t>
  </si>
  <si>
    <t>shonachandelia1996@gmail.com</t>
  </si>
  <si>
    <t>Mustafa Özt</t>
  </si>
  <si>
    <t>mustafa.ozturk040403@gmail.com</t>
  </si>
  <si>
    <t>TR</t>
  </si>
  <si>
    <t>Serdar Oncu</t>
  </si>
  <si>
    <t>serdar_oncu35@yahoo.com</t>
  </si>
  <si>
    <t>Sathyanarayana Kothari</t>
  </si>
  <si>
    <t>sathyack1@yahoo.co.in</t>
  </si>
  <si>
    <t>Vidya Nitin</t>
  </si>
  <si>
    <t>vidyadevadiga2189@gmail.com</t>
  </si>
  <si>
    <t>Srk Kannan</t>
  </si>
  <si>
    <t>kannanr1806@gmail.com</t>
  </si>
  <si>
    <t>Goraksh Gatkal</t>
  </si>
  <si>
    <t>Gbcbuildingsolutions@Gmail.com</t>
  </si>
  <si>
    <t>Ghaliya Bk</t>
  </si>
  <si>
    <t>bouchra5528@gmail.com</t>
  </si>
  <si>
    <t>MA</t>
  </si>
  <si>
    <t>mona thani</t>
  </si>
  <si>
    <t>mona.thani67@gmail.com</t>
  </si>
  <si>
    <t>chayanika Goswami</t>
  </si>
  <si>
    <t>chayanika.goswami@yahoo.com</t>
  </si>
  <si>
    <t>dilshad ijeem</t>
  </si>
  <si>
    <t>dilshadgorgeous@gmail.com</t>
  </si>
  <si>
    <t>Salma</t>
  </si>
  <si>
    <t>mahisarwar1986@icloud.com</t>
  </si>
  <si>
    <t>Hema</t>
  </si>
  <si>
    <t>hrcherrychandra@gmail.com</t>
  </si>
  <si>
    <t>Faisal Bin Nasir</t>
  </si>
  <si>
    <t>faisal_nasir@rediffmail.com</t>
  </si>
  <si>
    <t>Nouhaila Aoudi</t>
  </si>
  <si>
    <t>nouhailaaoudi@gmail.com</t>
  </si>
  <si>
    <t>INEYA</t>
  </si>
  <si>
    <t>ineya.shruthy@gmail.com</t>
  </si>
  <si>
    <t>Tamilla</t>
  </si>
  <si>
    <t>hamidova.tamilla@gmail.com</t>
  </si>
  <si>
    <t>Milan Lukic</t>
  </si>
  <si>
    <t>jugovo.banja@gmail.com</t>
  </si>
  <si>
    <t>Seemi Dhillu</t>
  </si>
  <si>
    <t>Seemidhl01@gmail.com</t>
  </si>
  <si>
    <t>Juma BelJaflah ♛</t>
  </si>
  <si>
    <t>Jbeljaflah@gmail.com</t>
  </si>
  <si>
    <t>A Ajith Shetty</t>
  </si>
  <si>
    <t>shettyajith91@gmail.com</t>
  </si>
  <si>
    <t>Akshay Kumar</t>
  </si>
  <si>
    <t>akshaybakashetti@gmail.com</t>
  </si>
  <si>
    <t>Muhammad Aslam Amir</t>
  </si>
  <si>
    <t>maaamirkhan313@gmail.com</t>
  </si>
  <si>
    <t>Fi Sadig</t>
  </si>
  <si>
    <t>Firuzasadig07@gmail.com</t>
  </si>
  <si>
    <t>FARIDA|DXB</t>
  </si>
  <si>
    <t>nasirova_farida@bk.ru</t>
  </si>
  <si>
    <t>Узбекистан</t>
  </si>
  <si>
    <t>Vinu V Viswam</t>
  </si>
  <si>
    <t>vinu4411@gmail.com</t>
  </si>
  <si>
    <t>Chaitanya Jangid</t>
  </si>
  <si>
    <t>jyoti.jangid13592@gmail.com</t>
  </si>
  <si>
    <t>T</t>
  </si>
  <si>
    <t>thaniathanny@gmail.com</t>
  </si>
  <si>
    <t>Ashal Abbas Zaidi</t>
  </si>
  <si>
    <t>Ashzaidi11086@icloud.com</t>
  </si>
  <si>
    <t>Aymeric</t>
  </si>
  <si>
    <t>aym.lbg@gmail.com</t>
  </si>
  <si>
    <t>Usman Ijaz</t>
  </si>
  <si>
    <t>chudharysahab015@gmail.com</t>
  </si>
  <si>
    <t>Shabbir Tambawala</t>
  </si>
  <si>
    <t>shabbir.tamba53@gmail.com</t>
  </si>
  <si>
    <t>Komal Ravat</t>
  </si>
  <si>
    <t>neetaravat6@gmail.comn</t>
  </si>
  <si>
    <t>Хилола</t>
  </si>
  <si>
    <t>kochkarovalola34@gmail.com</t>
  </si>
  <si>
    <t>All eyes on me</t>
  </si>
  <si>
    <t>Malaikaselena@gmail.com</t>
  </si>
  <si>
    <t>Sara</t>
  </si>
  <si>
    <t>Bushalat@hotmail.com</t>
  </si>
  <si>
    <t>Doctor SOHA ALHOUBY</t>
  </si>
  <si>
    <t>Sualhoubi@yahoo.com</t>
  </si>
  <si>
    <t>Tanveer Ahmad</t>
  </si>
  <si>
    <t>tanveer786shams@gmail.com</t>
  </si>
  <si>
    <t>Ajith Vm</t>
  </si>
  <si>
    <t>ajithvm621@gmail.com</t>
  </si>
  <si>
    <t>LIJIN</t>
  </si>
  <si>
    <t>lovebee1935@gmail.com</t>
  </si>
  <si>
    <t>Artem Haroyan</t>
  </si>
  <si>
    <t>artemart@hotmail.es</t>
  </si>
  <si>
    <t>ES</t>
  </si>
  <si>
    <t>Durgaoruganti</t>
  </si>
  <si>
    <t>durgakiran2023@gmail.com</t>
  </si>
  <si>
    <t>Anna Capacli</t>
  </si>
  <si>
    <t>anna.capacli.94@mail.ru</t>
  </si>
  <si>
    <t>Qatar</t>
  </si>
  <si>
    <t>Dimitrova</t>
  </si>
  <si>
    <t>dimitrova22@hotmail.co.uk</t>
  </si>
  <si>
    <t>Shahrzad Shirvani</t>
  </si>
  <si>
    <t>shahrzadshirvani7@yahoo.com</t>
  </si>
  <si>
    <t>CA</t>
  </si>
  <si>
    <t>KEM</t>
  </si>
  <si>
    <t>kdorothy304@gmail.com</t>
  </si>
  <si>
    <t>Jan 26 - Danube Apartments UK</t>
  </si>
  <si>
    <t>UAE Golden Visa / Residency Visa</t>
  </si>
  <si>
    <t>Ram</t>
  </si>
  <si>
    <t>rameshdv.sap@gmail.com</t>
  </si>
  <si>
    <t>3 Bedroom Apartment</t>
  </si>
  <si>
    <t>Keith Wood</t>
  </si>
  <si>
    <t>wood.keith4444@gmail.com</t>
  </si>
  <si>
    <t>Steven Hamilton</t>
  </si>
  <si>
    <t>stevendavidhamilton013@gmail.com</t>
  </si>
  <si>
    <t>Irfan M</t>
  </si>
  <si>
    <t>irfanbhatti1984@yahoo.com</t>
  </si>
  <si>
    <t>Mr Blobby</t>
  </si>
  <si>
    <t>john_semple@live.co.uk</t>
  </si>
  <si>
    <t>Farzana Mohammed</t>
  </si>
  <si>
    <t>farzanazarak@hotmail.com</t>
  </si>
  <si>
    <t>Jingle</t>
  </si>
  <si>
    <t>Belgraviagroup@icloud.com</t>
  </si>
  <si>
    <t>AF</t>
  </si>
  <si>
    <t>Sahir Iqbal</t>
  </si>
  <si>
    <t>sazbxr@icloud.com</t>
  </si>
  <si>
    <t>07950 348847</t>
  </si>
  <si>
    <t>Gurmeet Bagga</t>
  </si>
  <si>
    <t>timberwoodukltd@gmail.com</t>
  </si>
  <si>
    <t>Karen Thulisile</t>
  </si>
  <si>
    <t>thulisilemoyo786@gmail.com</t>
  </si>
  <si>
    <t>Fathima Khan</t>
  </si>
  <si>
    <t>fatskhann5@gmail.com</t>
  </si>
  <si>
    <t>Yusouf Mahamed</t>
  </si>
  <si>
    <t>yusoufmahamed@hotmail.co.uk</t>
  </si>
  <si>
    <t>Second Home / Holiday Home</t>
  </si>
  <si>
    <t>•SAH•</t>
  </si>
  <si>
    <t>skyeamyharris03@hotmail.com</t>
  </si>
  <si>
    <t>United Kingdom</t>
  </si>
  <si>
    <t>Luiz Rossi</t>
  </si>
  <si>
    <t>Luirossi.81@gmail.com</t>
  </si>
  <si>
    <t>Vipin Nair</t>
  </si>
  <si>
    <t>oceanslove17@gmail.com</t>
  </si>
  <si>
    <t>Ikrahferoze Hulkury</t>
  </si>
  <si>
    <t>ikrah_hulkury@yahoo.com</t>
  </si>
  <si>
    <t>Azeem family786</t>
  </si>
  <si>
    <t>tasleem_aktar@yahoo.co.uk</t>
  </si>
  <si>
    <t>Steven Wallis</t>
  </si>
  <si>
    <t>steven_m_wallis@hotmail.com</t>
  </si>
  <si>
    <t>4 Bedroom Penthouse</t>
  </si>
  <si>
    <t>Daniel Chamba</t>
  </si>
  <si>
    <t>dani19_30_19@hotmail.com</t>
  </si>
  <si>
    <t>Sam Eela</t>
  </si>
  <si>
    <t>sikandarisam@gmail.com</t>
  </si>
  <si>
    <t>Tufail Khan</t>
  </si>
  <si>
    <t>mtufail74@icloud.com</t>
  </si>
  <si>
    <t>Sabanathan Sellathurai</t>
  </si>
  <si>
    <t>ssaba0410@gmail.com</t>
  </si>
  <si>
    <t>Daniel Freitas</t>
  </si>
  <si>
    <t>danielmartinsfreitas@hotmail.com</t>
  </si>
  <si>
    <t>zhor Malik</t>
  </si>
  <si>
    <t>zhormalik@hotmail.com</t>
  </si>
  <si>
    <t>Manjeet</t>
  </si>
  <si>
    <t>Mk.lakha@gmail.com</t>
  </si>
  <si>
    <t>Vineta Fernandes</t>
  </si>
  <si>
    <t>vineta24@yahoo.co.uk</t>
  </si>
  <si>
    <t xml:space="preserve">they want to buy in UK </t>
  </si>
  <si>
    <t>Raeesa A</t>
  </si>
  <si>
    <t>raeesa12@hotmail.co.uk</t>
  </si>
  <si>
    <t>Anil Madhukar Awale</t>
  </si>
  <si>
    <t>awalekar2004@yahoo.co.uk</t>
  </si>
  <si>
    <t>wasim khan</t>
  </si>
  <si>
    <t>wasim.khan@warriornetworks.com</t>
  </si>
  <si>
    <t>LU</t>
  </si>
  <si>
    <t>Jackie Bailey</t>
  </si>
  <si>
    <t>Simon@mss-maintenance.co.uk</t>
  </si>
  <si>
    <t>iffat karema</t>
  </si>
  <si>
    <t>ashamithun69@gmail.com</t>
  </si>
  <si>
    <t>Dr-NaHeed NaVeed</t>
  </si>
  <si>
    <t>naheedmalik89@gmail.com</t>
  </si>
  <si>
    <t>hina waheed</t>
  </si>
  <si>
    <t>hina_khan64@hotmail.co.uk</t>
  </si>
  <si>
    <t>Nagina Ali</t>
  </si>
  <si>
    <t>nagina.a@live.co.uk</t>
  </si>
  <si>
    <t>Sukanya Ganapathi</t>
  </si>
  <si>
    <t>tsukanyait@gmail.com</t>
  </si>
  <si>
    <t>Izatullah sherai</t>
  </si>
  <si>
    <t>Izatullahsherai671@gmail.com</t>
  </si>
  <si>
    <t>M rahman</t>
  </si>
  <si>
    <t>Mahamudurr786@gmail.com</t>
  </si>
  <si>
    <t>Mariya Filipova</t>
  </si>
  <si>
    <t>maria_alshair123@abv.bg</t>
  </si>
  <si>
    <t>Shamim Rehman</t>
  </si>
  <si>
    <t>Shammy203@yahoo.co.uk</t>
  </si>
  <si>
    <t>Josh Turner</t>
  </si>
  <si>
    <t>turner.jc1@gmail.com</t>
  </si>
  <si>
    <t>Sri</t>
  </si>
  <si>
    <t>Todhanyasridharan@gmail.com</t>
  </si>
  <si>
    <t>Liliana Neagu</t>
  </si>
  <si>
    <t>Neaguliliana83@yahoo.com</t>
  </si>
  <si>
    <t>Doreen Rhule</t>
  </si>
  <si>
    <t>doreenrhule0@gmail.comn</t>
  </si>
  <si>
    <t>Javier Torres</t>
  </si>
  <si>
    <t>javiertorresballet@yahoo.es</t>
  </si>
  <si>
    <t>0330 500 2187</t>
  </si>
  <si>
    <t>Geeta Patel</t>
  </si>
  <si>
    <t>gee786taa@gmail.com</t>
  </si>
  <si>
    <t>Debpratim Dutta</t>
  </si>
  <si>
    <t>ddebpratim@yahoo.com</t>
  </si>
  <si>
    <t>Cristian Milea</t>
  </si>
  <si>
    <t>milea.cristian90@gmail.com</t>
  </si>
  <si>
    <t>Seid Almazumi</t>
  </si>
  <si>
    <t>almazumi@yahoo.co.uk</t>
  </si>
  <si>
    <t>Mickey John</t>
  </si>
  <si>
    <t>mickeyajohn@gmail.com</t>
  </si>
  <si>
    <t>Mohammed Alamin</t>
  </si>
  <si>
    <t>amin_1290@yahoo.com</t>
  </si>
  <si>
    <t>Luci Brandao</t>
  </si>
  <si>
    <t>lucianabrandao79@hotmail.com</t>
  </si>
  <si>
    <t>Raju Biswas</t>
  </si>
  <si>
    <t>rajubiswasbd661993@gmail.com</t>
  </si>
  <si>
    <t>Mohamed Aasik Elaki</t>
  </si>
  <si>
    <t>mohamedaasikelaki@gmail.com</t>
  </si>
  <si>
    <t>Laman</t>
  </si>
  <si>
    <t>cyrusbayat@hotmail.com</t>
  </si>
  <si>
    <t>Aktar Ruhi</t>
  </si>
  <si>
    <t>rubinaaktar@hotmail.co.uk</t>
  </si>
  <si>
    <t>Mihaela Cosmi</t>
  </si>
  <si>
    <t>mihaelacosm9i@gmail.com</t>
  </si>
  <si>
    <t>Assad Ahmad</t>
  </si>
  <si>
    <t>ma38141@gmail.com</t>
  </si>
  <si>
    <t>Marius Pavel</t>
  </si>
  <si>
    <t>mariuspavel81@yahoo.es</t>
  </si>
  <si>
    <t>Malcolm Fernandes</t>
  </si>
  <si>
    <t>Fmalcolm27@yahoo.com</t>
  </si>
  <si>
    <t>Josephine Olajumoke Laoye</t>
  </si>
  <si>
    <t>jmkgilgal@yahoo.co.uk</t>
  </si>
  <si>
    <t>Kam Prajapati</t>
  </si>
  <si>
    <t>kammyboy@yahoo.co.uk</t>
  </si>
  <si>
    <t>07984 482614</t>
  </si>
  <si>
    <t>Graceraju Elizabeth</t>
  </si>
  <si>
    <t>graceraju83@gmail.com</t>
  </si>
  <si>
    <t>Married Muslima</t>
  </si>
  <si>
    <t>cohenlaura25@gmail.com</t>
  </si>
  <si>
    <t>Moushumi Mehjeba</t>
  </si>
  <si>
    <t>drmou1986@gmail.com</t>
  </si>
  <si>
    <t>basil John</t>
  </si>
  <si>
    <t>basiljohn1977@gmail.com</t>
  </si>
  <si>
    <t>Nigat Din</t>
  </si>
  <si>
    <t>nigatdin5@hotmail.com</t>
  </si>
  <si>
    <t>Tah G Peace</t>
  </si>
  <si>
    <t>Tahargharbi@yahoo.com</t>
  </si>
  <si>
    <t>Aisha</t>
  </si>
  <si>
    <t>aishafarhancv89@gmail.com</t>
  </si>
  <si>
    <t>SA</t>
  </si>
  <si>
    <t xml:space="preserve">no money </t>
  </si>
  <si>
    <t>David Knappett</t>
  </si>
  <si>
    <t>davidknappett@icoud.co</t>
  </si>
  <si>
    <t>BigL’s_AW</t>
  </si>
  <si>
    <t>Lroysam234@gmail.com</t>
  </si>
  <si>
    <t>07417 527978</t>
  </si>
  <si>
    <t>Michael Gerrard</t>
  </si>
  <si>
    <t>twomichaels1@outlook.com</t>
  </si>
  <si>
    <t>Saliya Roshan</t>
  </si>
  <si>
    <t>rosh5002@gmail.com</t>
  </si>
  <si>
    <t>Muhammad Raza Choudhry</t>
  </si>
  <si>
    <t>razamohammed446@gmail.com</t>
  </si>
  <si>
    <t>Al Dahab</t>
  </si>
  <si>
    <t>thahabali12@gmail.com</t>
  </si>
  <si>
    <t>Allegra Menson</t>
  </si>
  <si>
    <t>corporateleisure100@gmail.com</t>
  </si>
  <si>
    <t>Roseline Ngene</t>
  </si>
  <si>
    <t>roselinengene@gmail.com</t>
  </si>
  <si>
    <t>Dennis Caalaman</t>
  </si>
  <si>
    <t>denzcaalaman@yahoo.com</t>
  </si>
  <si>
    <t>Nana Akua Acheampomaa</t>
  </si>
  <si>
    <t>akualive3@gmail.com</t>
  </si>
  <si>
    <t>Giovanna Ferreri</t>
  </si>
  <si>
    <t>Giovanna204@tiscali.it</t>
  </si>
  <si>
    <t>IT</t>
  </si>
  <si>
    <t>Bipina Sunar</t>
  </si>
  <si>
    <t>bipinasunar175@gmail.com</t>
  </si>
  <si>
    <t>NP</t>
  </si>
  <si>
    <t>sajida Parveen</t>
  </si>
  <si>
    <t>sajidap2016@gmail.com</t>
  </si>
  <si>
    <t>Ada Mic Petcu</t>
  </si>
  <si>
    <t>edapop26@yahoo.com</t>
  </si>
  <si>
    <t>Tapash Chowdhury</t>
  </si>
  <si>
    <t>tapash@btinternet.com</t>
  </si>
  <si>
    <t>Sumayya Arif</t>
  </si>
  <si>
    <t>sumayya.arif27@gmail.com</t>
  </si>
  <si>
    <t>HelenT</t>
  </si>
  <si>
    <t>golfsbeginning@gmail.com</t>
  </si>
  <si>
    <t>Success Asibor</t>
  </si>
  <si>
    <t>successasibor4@gmail.com</t>
  </si>
  <si>
    <t>Talha Sajid</t>
  </si>
  <si>
    <t>talhasajid786@icloud.com</t>
  </si>
  <si>
    <t>Barbara Lewington</t>
  </si>
  <si>
    <t>alewington22@hotmail.com</t>
  </si>
  <si>
    <t>Rophin Francis</t>
  </si>
  <si>
    <t>rophinfrancis@yahoo.com</t>
  </si>
  <si>
    <t>Ali Mohamed</t>
  </si>
  <si>
    <t>sharif4508@hotmail.com</t>
  </si>
  <si>
    <t>TZ</t>
  </si>
  <si>
    <t>Shamsul Mulk</t>
  </si>
  <si>
    <t>Pmulk@hotmail.co.uk</t>
  </si>
  <si>
    <t>Marcin Mozga</t>
  </si>
  <si>
    <t>mozga.marcin@gmail.com</t>
  </si>
  <si>
    <t>Abiodun Sanusi</t>
  </si>
  <si>
    <t>talktoabbs@yahoo.co.uk</t>
  </si>
  <si>
    <t>NG</t>
  </si>
  <si>
    <t>lemmy-kurtis Jemigbeyi</t>
  </si>
  <si>
    <t>ljemigbeyi@yahoo.co.uk</t>
  </si>
  <si>
    <t>Ronét</t>
  </si>
  <si>
    <t>Tyronelester333@gmail.com</t>
  </si>
  <si>
    <t>07304 322304</t>
  </si>
  <si>
    <t>kirti</t>
  </si>
  <si>
    <t>mandeepghumankghuman81@hotmail.com</t>
  </si>
  <si>
    <t>Farhat Ali</t>
  </si>
  <si>
    <t>farhat57@hotmail.co.uk</t>
  </si>
  <si>
    <t>Jimreeves Fernandes</t>
  </si>
  <si>
    <t>Fjimreeves@yahoo.com</t>
  </si>
  <si>
    <t>Mirza Nazia Mehmood</t>
  </si>
  <si>
    <t>mmehmood@myyahoo.com</t>
  </si>
  <si>
    <t>viqar</t>
  </si>
  <si>
    <t>mohviqar93@gmai.com</t>
  </si>
  <si>
    <t>Waqas Khan</t>
  </si>
  <si>
    <t>maxivilla27@yahoo.com</t>
  </si>
  <si>
    <t>Byron Ravenscroft</t>
  </si>
  <si>
    <t>byronravenscroft@gmail.com</t>
  </si>
  <si>
    <t>Dane Smith</t>
  </si>
  <si>
    <t>danesmith1@me.com</t>
  </si>
  <si>
    <t>Shumi Khan</t>
  </si>
  <si>
    <t>shumik194@gmail.com</t>
  </si>
  <si>
    <t>Khawaja mohammad mansoor sediqi</t>
  </si>
  <si>
    <t>Mansoor.e2e@gmail.com</t>
  </si>
  <si>
    <t>Jachimma Amarachi Nwachukwu</t>
  </si>
  <si>
    <t>jachimmaoranu@gmail.com</t>
  </si>
  <si>
    <t>Mian Ghulam Rasul</t>
  </si>
  <si>
    <t>mgr786@btinternet.com</t>
  </si>
  <si>
    <t>Nazia khan</t>
  </si>
  <si>
    <t>nsee2579@gmail.com</t>
  </si>
  <si>
    <t>Bharat Bageja</t>
  </si>
  <si>
    <t>bsbageja@hotmail.com</t>
  </si>
  <si>
    <t>Sarfraz A Khan</t>
  </si>
  <si>
    <t>sakhan.fcca@gmail.com</t>
  </si>
  <si>
    <t>Naz</t>
  </si>
  <si>
    <t>n_marfani_092@hotmail.com</t>
  </si>
  <si>
    <t>Rekha Praveen</t>
  </si>
  <si>
    <t>rekhapraveen674@gmail.com</t>
  </si>
  <si>
    <t>Ul Zaman Qamar</t>
  </si>
  <si>
    <t>ulzamanqamaruk@gmail.com</t>
  </si>
  <si>
    <t>Olota Pius Damilola</t>
  </si>
  <si>
    <t>olotapius08@yahoo.com</t>
  </si>
  <si>
    <t>Ma Bernadette Tabuzo</t>
  </si>
  <si>
    <t>ma_tabuzo@yahoo.com</t>
  </si>
  <si>
    <t>PH</t>
  </si>
  <si>
    <t>Burama Dampha</t>
  </si>
  <si>
    <t>bura19933@gmail.com</t>
  </si>
  <si>
    <t>Bev Morris</t>
  </si>
  <si>
    <t>lovelace40@hotmail.com</t>
  </si>
  <si>
    <t>Oladepo Oluwasegun</t>
  </si>
  <si>
    <t>depogeo@yahoo.com</t>
  </si>
  <si>
    <t>Ahmed Shuman</t>
  </si>
  <si>
    <t>ashuman59@yahoo.co.uk</t>
  </si>
  <si>
    <t>Raja Sohail</t>
  </si>
  <si>
    <t>rajasohail99@yahoo.com</t>
  </si>
  <si>
    <t>Harsh patel </t>
  </si>
  <si>
    <t>hhp345738@gmail.com</t>
  </si>
  <si>
    <t>Mamun Miah</t>
  </si>
  <si>
    <t>mamun333ahmed@gmail.com</t>
  </si>
  <si>
    <t>abida Mehmood</t>
  </si>
  <si>
    <t>wh.danyal@gmail.com</t>
  </si>
  <si>
    <t>Joshua Bruton</t>
  </si>
  <si>
    <t>joshuaelliottbruton@gmail.com</t>
  </si>
  <si>
    <t>Gifford Sutherland</t>
  </si>
  <si>
    <t>gifford@upskillu.org</t>
  </si>
  <si>
    <t>Zahrasha04@gmail.com</t>
  </si>
  <si>
    <t>Kenneth Stewart</t>
  </si>
  <si>
    <t>kenneth.stewart1963@icloud.com</t>
  </si>
  <si>
    <t>Harsh</t>
  </si>
  <si>
    <t>harshp1627@gmail.com</t>
  </si>
  <si>
    <t>Martin Gundry</t>
  </si>
  <si>
    <t>thegundrys@btinternet.com</t>
  </si>
  <si>
    <t>Mohammed Shakiel dad</t>
  </si>
  <si>
    <t>mohammedshakiel80@gmail.com</t>
  </si>
  <si>
    <t>Retheesh</t>
  </si>
  <si>
    <t>unnipala21@gmail.com</t>
  </si>
  <si>
    <t>Sneha Jos</t>
  </si>
  <si>
    <t>shil18pg@gmail.com</t>
  </si>
  <si>
    <t>Kemi Kufo</t>
  </si>
  <si>
    <t>oluwakemikufo60@gmail.com</t>
  </si>
  <si>
    <t>Felix Omosule</t>
  </si>
  <si>
    <t>omosulefelix3@gmail.com</t>
  </si>
  <si>
    <t>Anthony Stephen Nlebedim</t>
  </si>
  <si>
    <t>myway4life20@yahoo.com</t>
  </si>
  <si>
    <t>Syed Samadul Haque</t>
  </si>
  <si>
    <t>samad.haque@googlemail.com</t>
  </si>
  <si>
    <t>BD</t>
  </si>
  <si>
    <t>Javier  eiz galarraga</t>
  </si>
  <si>
    <t>principal@renovalplus.es</t>
  </si>
  <si>
    <t>Raymond Mendez</t>
  </si>
  <si>
    <t>raymondmendes60@gmail.com</t>
  </si>
  <si>
    <t>Catalina Cosaru</t>
  </si>
  <si>
    <t>catalinacosaru@yahoo.co.uk</t>
  </si>
  <si>
    <t>Steven Onasanya</t>
  </si>
  <si>
    <t>olushola_onasanya@yahoo.com</t>
  </si>
  <si>
    <t>Ish Ahmed</t>
  </si>
  <si>
    <t>ishahmed.1988@gmail.com</t>
  </si>
  <si>
    <t>Ahmed</t>
  </si>
  <si>
    <t>shobie68@hotmail.com</t>
  </si>
  <si>
    <t>Preeti patel</t>
  </si>
  <si>
    <t>Preetipatel70@gmail.com</t>
  </si>
  <si>
    <t>Kkam Kanojia</t>
  </si>
  <si>
    <t>kkamaljitkanojia@hotmail.co.uk</t>
  </si>
  <si>
    <t>Srajak Ghimire</t>
  </si>
  <si>
    <t>deepakghimire2075@gmail.com</t>
  </si>
  <si>
    <t>Kim Teh</t>
  </si>
  <si>
    <t>tehkim300@gmail.com</t>
  </si>
  <si>
    <t>Satnam Nothay</t>
  </si>
  <si>
    <t>eshaaran@outlook.com</t>
  </si>
  <si>
    <t>Lee Hodgkinson</t>
  </si>
  <si>
    <t>leehodgkinson1979@yahoo.co.uk</t>
  </si>
  <si>
    <t>ganesh</t>
  </si>
  <si>
    <t>gane4263@icloud.com</t>
  </si>
  <si>
    <t>Spaska A YORDANOVA</t>
  </si>
  <si>
    <t>syordanova1976@gmail.com</t>
  </si>
  <si>
    <t>Bisola</t>
  </si>
  <si>
    <t>boludewa@gmail.com</t>
  </si>
  <si>
    <t>Libe Noronha</t>
  </si>
  <si>
    <t>libewilly1992@gmail.com</t>
  </si>
  <si>
    <t>Umme Tasnim Zahir</t>
  </si>
  <si>
    <t>ummezahir@aol.com</t>
  </si>
  <si>
    <t>Ravinder Chakerwarti</t>
  </si>
  <si>
    <t>raveeji@gmail.com</t>
  </si>
  <si>
    <t>Jasmina Altanovska</t>
  </si>
  <si>
    <t>altanovskajasmina@gmail.com</t>
  </si>
  <si>
    <t>Joynal Abedin</t>
  </si>
  <si>
    <t>joy.abe014@gmail.com</t>
  </si>
  <si>
    <t>test lead: dummy data for i_am_interested_in_resort-style_luxury_townhouse_&amp;_villa_in_uae.</t>
  </si>
  <si>
    <t>Jan 26 - Ora Bayn Ghantoot - Europe</t>
  </si>
  <si>
    <t>5 Bedroom Villa</t>
  </si>
  <si>
    <t>Amir orakzai</t>
  </si>
  <si>
    <t>orakzai1989@hotmail.nl</t>
  </si>
  <si>
    <t>NL</t>
  </si>
  <si>
    <t>3 Bedroom Townhouse</t>
  </si>
  <si>
    <t>Jan Keuppens</t>
  </si>
  <si>
    <t>keuppensj@gmail.com</t>
  </si>
  <si>
    <t>DK</t>
  </si>
  <si>
    <t>Ina ibat</t>
  </si>
  <si>
    <t>kaminska7696@gmail.com</t>
  </si>
  <si>
    <t>Tóth Károly</t>
  </si>
  <si>
    <t>karolytoth477@gmail.com</t>
  </si>
  <si>
    <t>DE</t>
  </si>
  <si>
    <t>Newproducts International</t>
  </si>
  <si>
    <t>Thetwins@live.nl</t>
  </si>
  <si>
    <t>3 Bedroom Villa</t>
  </si>
  <si>
    <t>Vaszi Krisztián</t>
  </si>
  <si>
    <t>Krisztian@stravaco.hu</t>
  </si>
  <si>
    <t>Dinko Muhic</t>
  </si>
  <si>
    <t>dinkomuhic1@gmail.com</t>
  </si>
  <si>
    <t>Emily Johnson</t>
  </si>
  <si>
    <t>emily.johnson1711@gmail.com</t>
  </si>
  <si>
    <t>Árpád Németh</t>
  </si>
  <si>
    <t>arpadnemeth4610@email.com</t>
  </si>
  <si>
    <t>Jónás  András</t>
  </si>
  <si>
    <t>jonasandras329@gmai.com</t>
  </si>
  <si>
    <t>Marco Zanotti</t>
  </si>
  <si>
    <t>zanottimarco45@gmail.com</t>
  </si>
  <si>
    <t>4 Bedroom Villa</t>
  </si>
  <si>
    <t>Hetty Smets</t>
  </si>
  <si>
    <t>hettysmets@gmail.com</t>
  </si>
  <si>
    <t>Judit Gresznáryk</t>
  </si>
  <si>
    <t>greszj@gmail.com</t>
  </si>
  <si>
    <t>Bradley Martin</t>
  </si>
  <si>
    <t>bradley.j.martin@icloud.con</t>
  </si>
  <si>
    <t>Universe</t>
  </si>
  <si>
    <t>jennifer.johansson709@hotmail.com</t>
  </si>
  <si>
    <t>SE</t>
  </si>
  <si>
    <t>Raphael Machado</t>
  </si>
  <si>
    <t>rsimardmachado@gmail.com</t>
  </si>
  <si>
    <t>Barabbas Burrage</t>
  </si>
  <si>
    <t>glen.burrage66@yahoo.com</t>
  </si>
  <si>
    <t>Farid Farajpoory</t>
  </si>
  <si>
    <t>f.farajpoory@gmail.com</t>
  </si>
  <si>
    <t>Austria</t>
  </si>
  <si>
    <t>Mathias Schlie</t>
  </si>
  <si>
    <t>Jdjxje@hotmail.Com</t>
  </si>
  <si>
    <t>Ákos</t>
  </si>
  <si>
    <t>apetri92@gmail.com</t>
  </si>
  <si>
    <t>Hakan Bosnak</t>
  </si>
  <si>
    <t>hakanmustafa149@gmail.com</t>
  </si>
  <si>
    <t>Ann Elizabeth Nielsen</t>
  </si>
  <si>
    <t>annskov70@gmail.com</t>
  </si>
  <si>
    <t>Ewa Beata Kemmesies</t>
  </si>
  <si>
    <t>ewakemmesies@icloud.com</t>
  </si>
  <si>
    <t>Richárd Dézsi</t>
  </si>
  <si>
    <t>dezsirichard94@gmail.com</t>
  </si>
  <si>
    <t>an</t>
  </si>
  <si>
    <t>Rezeli Mária Magdolna /rézi rezeli a messengeren/</t>
  </si>
  <si>
    <t>marika.rezeli13@gmail.com</t>
  </si>
  <si>
    <t>Mohamad Aneeze Jamal</t>
  </si>
  <si>
    <t>Bominoo@hotmail.com</t>
  </si>
  <si>
    <t>Horváth Ferenc</t>
  </si>
  <si>
    <t>ferench7889@gamil.com</t>
  </si>
  <si>
    <t>Naila Khan</t>
  </si>
  <si>
    <t>dr_nkhan@hotmail.co.uk</t>
  </si>
  <si>
    <t>El-Qaisi Eva</t>
  </si>
  <si>
    <t>evaqaisi@gmail.com</t>
  </si>
  <si>
    <t>JO</t>
  </si>
  <si>
    <t>Thomas Lykke</t>
  </si>
  <si>
    <t>Thomas@lykkemadsen.com</t>
  </si>
  <si>
    <t>Nermin Neso Adrovic</t>
  </si>
  <si>
    <t>nadrovic@hotmail.com</t>
  </si>
  <si>
    <t>Jag Kaur</t>
  </si>
  <si>
    <t>jksh2012@gmail.com</t>
  </si>
  <si>
    <t>test lead: dummy data for i_am_interested_in_resort-style_luxury_townhouse_&amp;_villas.</t>
  </si>
  <si>
    <t xml:space="preserve"> whatsapp_number</t>
  </si>
  <si>
    <t>Jan 26 - Ora Bayn Ghantoot</t>
  </si>
  <si>
    <t>Rami</t>
  </si>
  <si>
    <t>ramibyg@icloud.com</t>
  </si>
  <si>
    <t>Stavros Malaxos</t>
  </si>
  <si>
    <t>stavros@properties-greece.com</t>
  </si>
  <si>
    <t>BE</t>
  </si>
  <si>
    <t>Zohaan Hassan</t>
  </si>
  <si>
    <t>zohaanraza2@gmail.com</t>
  </si>
  <si>
    <t>Md Shawon</t>
  </si>
  <si>
    <t>smd539371@gmail.com</t>
  </si>
  <si>
    <t>Vara Prasad</t>
  </si>
  <si>
    <t>ssitota480@gmail.com</t>
  </si>
  <si>
    <t>waseem</t>
  </si>
  <si>
    <t>waseem.28810@gmail.com</t>
  </si>
  <si>
    <t>مروان عبد الرؤوف</t>
  </si>
  <si>
    <t>gavgsgsv@gmail.com</t>
  </si>
  <si>
    <t>Md Al Amin Islam</t>
  </si>
  <si>
    <t>ah7539237@gmail.com</t>
  </si>
  <si>
    <t>Lucie Chan Sa Wa</t>
  </si>
  <si>
    <t>lucie.tamadistribution@gmail.com</t>
  </si>
  <si>
    <t>Lakpa Shěřpå</t>
  </si>
  <si>
    <t>lakpa9818@gmail.com</t>
  </si>
  <si>
    <t>Abdulqedr Aneto</t>
  </si>
  <si>
    <t>efrme69@gmail.com</t>
  </si>
  <si>
    <t>Manoj Sha</t>
  </si>
  <si>
    <t>manjomahta@gmail.com</t>
  </si>
  <si>
    <t>Malik Soban</t>
  </si>
  <si>
    <t>ms8115608@gmail.com</t>
  </si>
  <si>
    <t>i_am_interested_in_resort-style_luxury_villas.</t>
  </si>
  <si>
    <t>whatsapp_number</t>
  </si>
  <si>
    <t>4_bedroom_villa</t>
  </si>
  <si>
    <t>عادل عبدربه</t>
  </si>
  <si>
    <t>zxc.adl66@gmail.com</t>
  </si>
  <si>
    <t>971508853242</t>
  </si>
  <si>
    <t>Saleem Narikkodan</t>
  </si>
  <si>
    <t>saleemnarikkodan9@gmail.com</t>
  </si>
  <si>
    <t>971509929370</t>
  </si>
  <si>
    <t>محمد المهدي الشريف</t>
  </si>
  <si>
    <t>m0912440601@gmail.com</t>
  </si>
  <si>
    <t>971553930501</t>
  </si>
  <si>
    <t>Fiazhissa</t>
  </si>
  <si>
    <t>fiyazh11@gmail.com</t>
  </si>
  <si>
    <t>97154742364</t>
  </si>
  <si>
    <t>971508244137</t>
  </si>
  <si>
    <t>Toqeer Ahmad</t>
  </si>
  <si>
    <t>th3622831@gmail.com</t>
  </si>
  <si>
    <t>Mushtak Ali</t>
  </si>
  <si>
    <t>alimoksad71@gmail.com</t>
  </si>
  <si>
    <t>test lead: dummy data for i_am_interested_in_beachfront_apartments_on_palm_jumeirah,_dubai.</t>
  </si>
  <si>
    <t>Jan 26 - Passo Beyond - Europe</t>
  </si>
  <si>
    <t>4 Bedroom Apartment</t>
  </si>
  <si>
    <t>Sebestyén Kitti</t>
  </si>
  <si>
    <t>ksebestyen153@gmail.com</t>
  </si>
  <si>
    <t>Natalie Sunny</t>
  </si>
  <si>
    <t>steppNatalia@gmail.com</t>
  </si>
  <si>
    <t>József Szabo</t>
  </si>
  <si>
    <t>szabojozsef330@gmail.com</t>
  </si>
  <si>
    <t>Virag Attilane</t>
  </si>
  <si>
    <t>viragmariamaria1966@gmail.com</t>
  </si>
  <si>
    <t>Kim Hansen</t>
  </si>
  <si>
    <t>hkim03777@gmail.com</t>
  </si>
  <si>
    <t>Henrik Matthews Masauna Jukom Henson</t>
  </si>
  <si>
    <t>hensonhenrik97@gmail.com</t>
  </si>
  <si>
    <t>Selcuk Kahraman</t>
  </si>
  <si>
    <t>seloseller@hotmail.com</t>
  </si>
  <si>
    <t>Szilágyi Gábor</t>
  </si>
  <si>
    <t>kissziszi23@freemail.hu</t>
  </si>
  <si>
    <t>Kazi Dávid</t>
  </si>
  <si>
    <t>Kazidavidmark@gmail.com</t>
  </si>
  <si>
    <t>Alphajoe Barry</t>
  </si>
  <si>
    <t>Alphabarry2024@gmail.com</t>
  </si>
  <si>
    <t>Anton</t>
  </si>
  <si>
    <t>anton@elanfood.se</t>
  </si>
  <si>
    <t>Horváth József</t>
  </si>
  <si>
    <t>jozsef0507@freemail.hu</t>
  </si>
  <si>
    <t>Markus</t>
  </si>
  <si>
    <t>jackmarkus@hotmail.com</t>
  </si>
  <si>
    <t>Sverige</t>
  </si>
  <si>
    <t>Tsveti Kalininа</t>
  </si>
  <si>
    <t>cvetana_kalinina@abv.bg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</si>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</sst>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yyyy-mm-dd h:mm:ss"/>
    <numFmt numFmtId="177" formatCode="M/d/yyyy"/>
    <numFmt numFmtId="178" formatCode="0%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</numFmts>
  <fonts count="27" x14ac:knownFonts="27">
    <font>
      <sz val="10.0"/>
      <color rgb="FF000000"/>
      <name val="Arial"/>
      <family val="2"/>
    </font>
    <font>
      <sz val="10.0"/>
      <color rgb="FF000000"/>
      <name val="Arial"/>
      <family val="2"/>
    </font>
    <font>
      <sz val="10.0"/>
      <name val="Verdana"/>
      <family val="2"/>
    </font>
    <font>
      <sz val="10.0"/>
      <name val="Arial"/>
      <family val="2"/>
    </font>
    <font>
      <sz val="10.0"/>
      <color rgb="FFFF0000"/>
      <name val="Verdana"/>
      <family val="2"/>
      <b/>
    </font>
    <font>
      <sz val="10.0"/>
      <color rgb="FFFF0000"/>
      <name val="Arial"/>
      <family val="2"/>
      <b/>
    </font>
    <font>
      <sz val="10.0"/>
      <name val="Arial"/>
      <family val="2"/>
      <b/>
    </font>
    <font>
      <sz val="10.0"/>
      <color rgb="FF000000"/>
      <name val="Verdana"/>
      <family val="2"/>
    </font>
    <font>
      <sz val="10.0"/>
      <name val="Verdana"/>
      <family val="2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0.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4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horizontal="right" vertical="center"/>
    </xf>
    <xf numFmtId="0" fontId="2" applyFont="1" fillId="0" borderId="0" applyAlignment="1" xfId="0">
      <alignment vertical="center"/>
    </xf>
    <xf numFmtId="0" fontId="3" applyFont="1" fillId="0" borderId="0" applyAlignment="1" xfId="0">
      <alignment vertical="center"/>
    </xf>
    <xf numFmtId="176" applyNumberFormat="1" fontId="2" applyFont="1" fillId="0" borderId="0" applyAlignment="1" xfId="0">
      <alignment horizontal="right" vertical="center"/>
    </xf>
    <xf numFmtId="176" applyNumberFormat="1" fontId="2" applyFont="1" fillId="2" applyFill="1" borderId="0" applyAlignment="1" xfId="0">
      <alignment horizontal="right" vertical="center"/>
    </xf>
    <xf numFmtId="0" fontId="2" applyFont="1" fillId="2" applyFill="1" borderId="0" applyAlignment="1" xfId="0">
      <alignment vertical="center"/>
    </xf>
    <xf numFmtId="0" fontId="2" applyFont="1" fillId="2" applyFill="1" borderId="0" applyAlignment="1" xfId="0">
      <alignment horizontal="right" vertical="center"/>
    </xf>
    <xf numFmtId="0" fontId="3" applyFont="1" fillId="2" applyFill="1" borderId="0" applyAlignment="1" xfId="0">
      <alignment vertical="center"/>
    </xf>
    <xf numFmtId="0" fontId="3" applyFont="1" fillId="2" applyFill="1" borderId="0" applyAlignment="1" xfId="0"/>
    <xf numFmtId="0" fontId="3" applyFont="1" fillId="0" borderId="0" applyAlignment="1" xfId="0"/>
    <xf numFmtId="176" applyNumberFormat="1" fontId="2" applyFont="1" fillId="3" applyFill="1" borderId="0" applyAlignment="1" xfId="0">
      <alignment horizontal="right" vertical="center"/>
    </xf>
    <xf numFmtId="0" fontId="2" applyFont="1" fillId="3" applyFill="1" borderId="0" applyAlignment="1" xfId="0">
      <alignment vertical="center"/>
    </xf>
    <xf numFmtId="0" fontId="2" applyFont="1" fillId="3" applyFill="1" borderId="0" applyAlignment="1" xfId="0">
      <alignment horizontal="right" vertical="center"/>
    </xf>
    <xf numFmtId="0" fontId="3" applyFont="1" fillId="3" applyFill="1" borderId="0" applyAlignment="1" xfId="0">
      <alignment vertical="center"/>
    </xf>
    <xf numFmtId="0" fontId="3" applyFont="1" fillId="3" applyFill="1" borderId="0" applyAlignment="1" xfId="0"/>
    <xf numFmtId="177" applyNumberFormat="1" fontId="2" applyFont="1" fillId="0" borderId="0" applyAlignment="1" xfId="0">
      <alignment horizontal="right" vertical="center"/>
    </xf>
    <xf numFmtId="0" fontId="2" applyFont="1" fillId="0" borderId="0" applyAlignment="1" xfId="0">
      <alignment horizontal="left" vertical="center"/>
    </xf>
    <xf numFmtId="0" fontId="3" applyFont="1" fillId="0" borderId="0" applyAlignment="1" xfId="0">
      <alignment horizontal="left" vertical="center"/>
    </xf>
    <xf numFmtId="177" applyNumberFormat="1" fontId="2" applyFont="1" fillId="3" applyFill="1" borderId="0" applyAlignment="1" xfId="0">
      <alignment horizontal="right" vertical="center"/>
    </xf>
    <xf numFmtId="0" fontId="2" applyFont="1" fillId="3" applyFill="1" borderId="0" applyAlignment="1" xfId="0">
      <alignment horizontal="left" vertical="center"/>
    </xf>
    <xf numFmtId="0" fontId="3" applyFont="1" fillId="3" applyFill="1" borderId="0" applyAlignment="1" xfId="0">
      <alignment horizontal="left" vertical="center"/>
    </xf>
    <xf numFmtId="177" applyNumberFormat="1" fontId="2" applyFont="1" fillId="2" applyFill="1" borderId="0" applyAlignment="1" xfId="0">
      <alignment horizontal="right" vertical="center"/>
    </xf>
    <xf numFmtId="0" fontId="2" applyFont="1" fillId="2" applyFill="1" borderId="0" applyAlignment="1" xfId="0">
      <alignment horizontal="left" vertical="center"/>
    </xf>
    <xf numFmtId="0" fontId="3" applyFont="1" fillId="2" applyFill="1" borderId="0" applyAlignment="1" xfId="0">
      <alignment horizontal="left" vertical="center"/>
    </xf>
    <xf numFmtId="177" applyNumberFormat="1" fontId="4" applyFont="1" fillId="0" borderId="0" applyAlignment="1" xfId="0">
      <alignment horizontal="right" vertical="center"/>
    </xf>
    <xf numFmtId="0" fontId="4" applyFont="1" fillId="0" borderId="0" applyAlignment="1" xfId="0">
      <alignment vertical="center"/>
    </xf>
    <xf numFmtId="0" fontId="4" applyFont="1" fillId="0" borderId="0" applyAlignment="1" xfId="0">
      <alignment horizontal="left" vertical="center"/>
    </xf>
    <xf numFmtId="0" fontId="5" applyFont="1" fillId="0" borderId="0" applyAlignment="1" xfId="0">
      <alignment horizontal="left" vertical="center"/>
    </xf>
    <xf numFmtId="0" fontId="6" applyFont="1" fillId="0" borderId="0" applyAlignment="1" xfId="0"/>
    <xf numFmtId="177" applyNumberFormat="1" fontId="7" applyFont="1" fillId="0" borderId="0" applyAlignment="1" xfId="0">
      <alignment horizontal="right" vertical="center"/>
    </xf>
    <xf numFmtId="0" fontId="7" applyFont="1" fillId="0" borderId="0" applyAlignment="1" xfId="0">
      <alignment vertical="center"/>
    </xf>
    <xf numFmtId="0" fontId="7" applyFont="1" fillId="0" borderId="0" applyAlignment="1" xfId="0">
      <alignment horizontal="left" vertical="center"/>
    </xf>
    <xf numFmtId="0" fontId="1" applyFont="1" fillId="0" borderId="0" applyAlignment="1" xfId="0">
      <alignment horizontal="left" vertical="center"/>
    </xf>
    <xf numFmtId="0" fontId="1" applyFont="1" fillId="0" borderId="0" applyAlignment="1" xfId="0"/>
    <xf numFmtId="0" fontId="8" applyFont="1" fillId="0" borderId="0" applyAlignment="1" xfId="0">
      <alignment horizontal="right" vertical="center"/>
    </xf>
    <xf numFmtId="0" fontId="8" applyFont="1" fillId="0" borderId="0" applyAlignment="1" xfId="0">
      <alignment horizontal="left" vertical="center"/>
    </xf>
    <xf numFmtId="177" applyNumberFormat="1" fontId="3" applyFont="1" fillId="0" borderId="0" applyAlignment="1" xfId="0"/>
    <xf numFmtId="0" fontId="3" applyFont="1" fillId="0" borderId="0" applyAlignment="1" xfId="0">
      <alignment horizontal="left"/>
    </xf>
    <xf numFmtId="0" fontId="2" applyFont="1" fillId="0" borderId="1" applyBorder="1" applyAlignment="1" xfId="0">
      <alignment horizontal="right" vertical="center"/>
    </xf>
    <xf numFmtId="0" fontId="2" applyFont="1" fillId="0" borderId="2" applyBorder="1" applyAlignment="1" xfId="0">
      <alignment vertical="center"/>
    </xf>
    <xf numFmtId="0" fontId="3" applyFont="1" fillId="0" borderId="3" applyBorder="1" applyAlignment="1" xfId="0">
      <alignment vertical="center"/>
    </xf>
    <xf numFmtId="0" fontId="3" applyFont="1" fillId="0" borderId="4" applyBorder="1" applyAlignment="1" xfId="0"/>
    <xf numFmtId="176" applyNumberFormat="1" fontId="2" applyFont="1" fillId="0" borderId="5" applyBorder="1" applyAlignment="1" xfId="0">
      <alignment horizontal="right" vertical="center"/>
    </xf>
    <xf numFmtId="0" fontId="1" applyFont="1" fillId="0" borderId="0" applyAlignment="1" xfId="0"/>
    <xf numFmtId="0" fontId="9" applyFont="1" fillId="4" applyFill="1" borderId="0" applyAlignment="1" xfId="0">
      <alignment vertical="center"/>
    </xf>
    <xf numFmtId="0" fontId="10" applyFont="1" fillId="5" applyFill="1" borderId="0" applyAlignment="1" xfId="0">
      <alignment vertical="center"/>
    </xf>
    <xf numFmtId="0" fontId="11" applyFont="1" fillId="6" applyFill="1" borderId="0" applyAlignment="1" xfId="0">
      <alignment vertical="center"/>
    </xf>
    <xf numFmtId="0" fontId="12" applyFont="1" fillId="7" applyFill="1" borderId="6" applyBorder="1" applyAlignment="1" xfId="0">
      <alignment vertical="center"/>
    </xf>
    <xf numFmtId="0" fontId="13" applyFont="1" fillId="8" applyFill="1" borderId="7" applyBorder="1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8" applyBorder="1" applyAlignment="1" xfId="0">
      <alignment vertical="center"/>
    </xf>
    <xf numFmtId="0" fontId="17" applyFont="1" fillId="7" applyFill="1" borderId="9" applyBorder="1" applyAlignment="1" xfId="0">
      <alignment vertical="center"/>
    </xf>
    <xf numFmtId="0" fontId="18" applyFont="1" fillId="9" applyFill="1" borderId="10" applyBorder="1" applyAlignment="1" xfId="0">
      <alignment vertical="center"/>
    </xf>
    <xf numFmtId="0" fontId="1" applyFont="1" fillId="10" applyFill="1" borderId="11" applyBorder="1" applyAlignment="1" xfId="0">
      <alignment vertical="center"/>
    </xf>
    <xf numFmtId="0" fontId="19" applyFont="1" fillId="0" borderId="0" applyAlignment="1" xfId="0">
      <alignment vertical="center"/>
    </xf>
    <xf numFmtId="0" fontId="20" applyFont="1" fillId="0" borderId="12" applyBorder="1" applyAlignment="1" xfId="0">
      <alignment vertical="center"/>
    </xf>
    <xf numFmtId="0" fontId="21" applyFont="1" fillId="0" borderId="13" applyBorder="1" applyAlignment="1" xfId="0">
      <alignment vertical="center"/>
    </xf>
    <xf numFmtId="0" fontId="22" applyFont="1" fillId="0" borderId="14" applyBorder="1" applyAlignment="1" xfId="0">
      <alignment vertical="center"/>
    </xf>
    <xf numFmtId="0" fontId="22" applyFont="1" fillId="0" borderId="0" applyAlignment="1" xfId="0">
      <alignment vertical="center"/>
    </xf>
    <xf numFmtId="0" fontId="23" applyFont="1" fillId="0" borderId="15" applyBorder="1" applyAlignment="1" xfId="0">
      <alignment vertical="center"/>
    </xf>
    <xf numFmtId="0" fontId="24" applyFont="1" fillId="11" applyFill="1" borderId="0" applyAlignment="1" xfId="0">
      <alignment vertical="center"/>
    </xf>
    <xf numFmtId="0" fontId="24" applyFont="1" fillId="12" applyFill="1" borderId="0" applyAlignment="1" xfId="0">
      <alignment vertical="center"/>
    </xf>
    <xf numFmtId="0" fontId="24" applyFont="1" fillId="13" applyFill="1" borderId="0" applyAlignment="1" xfId="0">
      <alignment vertical="center"/>
    </xf>
    <xf numFmtId="0" fontId="24" applyFont="1" fillId="14" applyFill="1" borderId="0" applyAlignment="1" xfId="0">
      <alignment vertical="center"/>
    </xf>
    <xf numFmtId="0" fontId="24" applyFont="1" fillId="15" applyFill="1" borderId="0" applyAlignment="1" xfId="0">
      <alignment vertical="center"/>
    </xf>
    <xf numFmtId="0" fontId="24" applyFont="1" fillId="16" applyFill="1" borderId="0" applyAlignment="1" xfId="0">
      <alignment vertical="center"/>
    </xf>
    <xf numFmtId="0" fontId="24" applyFont="1" fillId="17" applyFill="1" borderId="0" applyAlignment="1" xfId="0">
      <alignment vertical="center"/>
    </xf>
    <xf numFmtId="0" fontId="24" applyFont="1" fillId="18" applyFill="1" borderId="0" applyAlignment="1" xfId="0">
      <alignment vertical="center"/>
    </xf>
    <xf numFmtId="0" fontId="24" applyFont="1" fillId="19" applyFill="1" borderId="0" applyAlignment="1" xfId="0">
      <alignment vertical="center"/>
    </xf>
    <xf numFmtId="0" fontId="24" applyFont="1" fillId="20" applyFill="1" borderId="0" applyAlignment="1" xfId="0">
      <alignment vertical="center"/>
    </xf>
    <xf numFmtId="0" fontId="24" applyFont="1" fillId="21" applyFill="1" borderId="0" applyAlignment="1" xfId="0">
      <alignment vertical="center"/>
    </xf>
    <xf numFmtId="0" fontId="24" applyFont="1" fillId="22" applyFill="1" borderId="0" applyAlignment="1" xfId="0">
      <alignment vertical="center"/>
    </xf>
    <xf numFmtId="0" fontId="25" applyFont="1" fillId="23" applyFill="1" borderId="0" applyAlignment="1" xfId="0">
      <alignment vertical="center"/>
    </xf>
    <xf numFmtId="0" fontId="25" applyFont="1" fillId="24" applyFill="1" borderId="0" applyAlignment="1" xfId="0">
      <alignment vertical="center"/>
    </xf>
    <xf numFmtId="0" fontId="25" applyFont="1" fillId="25" applyFill="1" borderId="0" applyAlignment="1" xfId="0">
      <alignment vertical="center"/>
    </xf>
    <xf numFmtId="0" fontId="25" applyFont="1" fillId="26" applyFill="1" borderId="0" applyAlignment="1" xfId="0">
      <alignment vertical="center"/>
    </xf>
    <xf numFmtId="0" fontId="25" applyFont="1" fillId="27" applyFill="1" borderId="0" applyAlignment="1" xfId="0">
      <alignment vertical="center"/>
    </xf>
    <xf numFmtId="0" fontId="25" applyFont="1" fillId="28" applyFill="1" borderId="0" applyAlignment="1" xfId="0">
      <alignment vertical="center"/>
    </xf>
    <xf numFmtId="0" fontId="25" applyFont="1" fillId="29" applyFill="1" borderId="0" applyAlignment="1" xfId="0">
      <alignment vertical="center"/>
    </xf>
    <xf numFmtId="0" fontId="25" applyFont="1" fillId="30" applyFill="1" borderId="0" applyAlignment="1" xfId="0">
      <alignment vertical="center"/>
    </xf>
    <xf numFmtId="0" fontId="25" applyFont="1" fillId="31" applyFill="1" borderId="0" applyAlignment="1" xfId="0">
      <alignment vertical="center"/>
    </xf>
    <xf numFmtId="0" fontId="25" applyFont="1" fillId="32" applyFill="1" borderId="0" applyAlignment="1" xfId="0">
      <alignment vertical="center"/>
    </xf>
    <xf numFmtId="0" fontId="25" applyFont="1" fillId="33" applyFill="1" borderId="0" applyAlignment="1" xfId="0">
      <alignment vertical="center"/>
    </xf>
    <xf numFmtId="0" fontId="25" applyFont="1" fillId="34" applyFill="1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182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J100"/>
  <sheetViews>
    <sheetView tabSelected="1" zoomScaleNormal="100" topLeftCell="AG1" workbookViewId="0">
      <selection activeCell="AH1" activeCellId="0" sqref="AH1:AH1048576"/>
    </sheetView>
  </sheetViews>
  <sheetFormatPr defaultRowHeight="15.0" customHeight="1" defaultColWidth="14.428571428571429" x14ac:dyDescent="0.15"/>
  <cols>
    <col min="1" max="10" width="12.571428571428571" customWidth="1"/>
  </cols>
  <sheetData>
    <row r="1" spans="1:9" ht="15.7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</row>
    <row r="2" spans="1:9" ht="15.75" customHeight="1" x14ac:dyDescent="0.15">
      <c r="A2" s="5">
        <v>46074.64821759259</v>
      </c>
      <c r="B2" s="3"/>
      <c r="C2" s="3"/>
      <c r="D2" s="3" t="s">
        <v>9</v>
      </c>
      <c r="E2" s="3" t="s">
        <v>10</v>
      </c>
      <c r="F2" s="3" t="s">
        <v>11</v>
      </c>
      <c r="G2" s="2" t="s">
        <v>12</v>
      </c>
      <c r="H2" s="2" t="s">
        <v>13</v>
      </c>
      <c r="I2" s="4" t="s">
        <v>12</v>
      </c>
    </row>
    <row r="3" spans="1:9" ht="15.75" customHeight="1" x14ac:dyDescent="0.15">
      <c r="A3" s="5">
        <v>46078.25216435185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2">
        <v>9.71525182089E11</v>
      </c>
      <c r="H3" s="2">
        <v>9.71525182089E11</v>
      </c>
      <c r="I3" s="4">
        <v>9.71525182089E11</v>
      </c>
    </row>
    <row r="4" spans="1:9" ht="15.75" customHeight="1" x14ac:dyDescent="0.15">
      <c r="A4" s="5">
        <v>46078.26798611111</v>
      </c>
      <c r="B4" s="3" t="s">
        <v>14</v>
      </c>
      <c r="C4" s="3" t="s">
        <v>15</v>
      </c>
      <c r="D4" s="3" t="s">
        <v>19</v>
      </c>
      <c r="E4" s="3" t="s">
        <v>20</v>
      </c>
      <c r="F4" s="3" t="s">
        <v>21</v>
      </c>
      <c r="G4" s="2">
        <v>9.18780680138E11</v>
      </c>
      <c r="H4" s="2">
        <v>9.71503746081E11</v>
      </c>
      <c r="I4" s="4">
        <v>9.18780680138E11</v>
      </c>
    </row>
    <row r="5" spans="1:9" ht="15.75" customHeight="1" x14ac:dyDescent="0.15">
      <c r="A5" s="5">
        <v>46078.2941087963</v>
      </c>
      <c r="B5" s="3" t="s">
        <v>14</v>
      </c>
      <c r="C5" s="3" t="s">
        <v>15</v>
      </c>
      <c r="D5" s="3" t="s">
        <v>16</v>
      </c>
      <c r="E5" s="3" t="s">
        <v>22</v>
      </c>
      <c r="F5" s="3" t="s">
        <v>23</v>
      </c>
      <c r="G5" s="2">
        <v>9.7797647258E10</v>
      </c>
      <c r="H5" s="2">
        <v>9.7764567258E10</v>
      </c>
      <c r="I5" s="4">
        <v>9.7797647258E10</v>
      </c>
    </row>
    <row r="6" spans="1:9" ht="15.75" customHeight="1" x14ac:dyDescent="0.15">
      <c r="A6" s="5">
        <v>46078.8378125</v>
      </c>
      <c r="B6" s="3" t="s">
        <v>14</v>
      </c>
      <c r="C6" s="3" t="s">
        <v>15</v>
      </c>
      <c r="D6" s="3" t="s">
        <v>24</v>
      </c>
      <c r="E6" s="3" t="s">
        <v>25</v>
      </c>
      <c r="F6" s="3" t="s">
        <v>26</v>
      </c>
      <c r="G6" s="2">
        <v>9.71554632454E11</v>
      </c>
      <c r="H6" s="2">
        <v>9.710554632454E12</v>
      </c>
      <c r="I6" s="4">
        <v>9.71554632454E11</v>
      </c>
    </row>
    <row r="7" spans="1:9" ht="15.75" customHeight="1" x14ac:dyDescent="0.15">
      <c r="A7" s="5">
        <v>46078.93917824074</v>
      </c>
      <c r="B7" s="3" t="s">
        <v>14</v>
      </c>
      <c r="C7" s="3" t="s">
        <v>15</v>
      </c>
      <c r="D7" s="3" t="s">
        <v>19</v>
      </c>
      <c r="E7" s="3" t="s">
        <v>27</v>
      </c>
      <c r="F7" s="3" t="s">
        <v>28</v>
      </c>
      <c r="G7" s="2">
        <v>9.7155795401E11</v>
      </c>
      <c r="H7" s="2">
        <v>9.71055795401E12</v>
      </c>
      <c r="I7" s="4">
        <v>9.7155795401E11</v>
      </c>
    </row>
    <row r="8" spans="1:9" ht="15.75" customHeight="1" x14ac:dyDescent="0.15">
      <c r="A8" s="5">
        <v>46079.61375</v>
      </c>
      <c r="B8" s="3" t="s">
        <v>14</v>
      </c>
      <c r="C8" s="3" t="s">
        <v>15</v>
      </c>
      <c r="D8" s="3" t="s">
        <v>16</v>
      </c>
      <c r="E8" s="3" t="s">
        <v>29</v>
      </c>
      <c r="F8" s="3" t="s">
        <v>30</v>
      </c>
      <c r="G8" s="2">
        <v>2.61322712507E11</v>
      </c>
      <c r="H8" s="2">
        <v>2.61322712507E11</v>
      </c>
      <c r="I8" s="4">
        <v>2.61322712507E11</v>
      </c>
    </row>
    <row r="9" spans="1:1" ht="15.75" customHeight="1" x14ac:dyDescent="0.15"/>
    <row r="10" spans="1:1" ht="15.75" customHeight="1" x14ac:dyDescent="0.15"/>
    <row r="11" spans="1:1" ht="15.75" customHeight="1" x14ac:dyDescent="0.15"/>
    <row r="12" spans="1:1" ht="15.75" customHeight="1" x14ac:dyDescent="0.15"/>
    <row r="13" spans="1:1" ht="15.75" customHeight="1" x14ac:dyDescent="0.15"/>
    <row r="14" spans="1:1" ht="15.75" customHeight="1" x14ac:dyDescent="0.15"/>
    <row r="15" spans="1:1" ht="15.75" customHeight="1" x14ac:dyDescent="0.15"/>
    <row r="16" spans="1:1" ht="15.75" customHeight="1" x14ac:dyDescent="0.15"/>
    <row r="17" spans="1:1" ht="15.75" customHeight="1" x14ac:dyDescent="0.15"/>
    <row r="18" spans="1:1" ht="15.75" customHeight="1" x14ac:dyDescent="0.15"/>
    <row r="19" spans="1:1" ht="15.75" customHeight="1" x14ac:dyDescent="0.15"/>
    <row r="20" spans="1:1" ht="15.75" customHeight="1" x14ac:dyDescent="0.15"/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spans="1:1" ht="15.75" customHeight="1" x14ac:dyDescent="0.15"/>
    <row r="34" spans="1:1" ht="15.75" customHeight="1" x14ac:dyDescent="0.15"/>
    <row r="35" spans="1:1" ht="15.75" customHeight="1" x14ac:dyDescent="0.15"/>
    <row r="36" spans="1:1" ht="15.75" customHeight="1" x14ac:dyDescent="0.15"/>
    <row r="37" spans="1:1" ht="15.75" customHeight="1" x14ac:dyDescent="0.15"/>
    <row r="38" spans="1:1" ht="15.75" customHeight="1" x14ac:dyDescent="0.15"/>
    <row r="39" spans="1:1" ht="15.75" customHeight="1" x14ac:dyDescent="0.15"/>
    <row r="40" spans="1:1" ht="15.75" customHeight="1" x14ac:dyDescent="0.15"/>
    <row r="41" spans="1:1" ht="15.75" customHeight="1" x14ac:dyDescent="0.15"/>
    <row r="42" spans="1:1" ht="15.75" customHeight="1" x14ac:dyDescent="0.15"/>
    <row r="43" spans="1:1" ht="15.75" customHeight="1" x14ac:dyDescent="0.15"/>
    <row r="44" spans="1:1" ht="15.75" customHeight="1" x14ac:dyDescent="0.15"/>
    <row r="45" spans="1:1" ht="15.75" customHeight="1" x14ac:dyDescent="0.15"/>
    <row r="46" spans="1:1" ht="15.75" customHeight="1" x14ac:dyDescent="0.15"/>
    <row r="47" spans="1:1" ht="15.75" customHeight="1" x14ac:dyDescent="0.15"/>
    <row r="48" spans="1:1" ht="15.75" customHeight="1" x14ac:dyDescent="0.15"/>
    <row r="49" spans="1:1" ht="15.75" customHeight="1" x14ac:dyDescent="0.15"/>
    <row r="50" spans="1:1" ht="15.75" customHeight="1" x14ac:dyDescent="0.15"/>
    <row r="51" spans="1:1" ht="15.75" customHeight="1" x14ac:dyDescent="0.15"/>
    <row r="52" spans="1:1" ht="15.75" customHeight="1" x14ac:dyDescent="0.15"/>
    <row r="53" spans="1:1" ht="15.75" customHeight="1" x14ac:dyDescent="0.15"/>
    <row r="54" spans="1:1" ht="15.75" customHeight="1" x14ac:dyDescent="0.15"/>
    <row r="55" spans="1:1" ht="15.75" customHeight="1" x14ac:dyDescent="0.15"/>
    <row r="56" spans="1:1" ht="15.75" customHeight="1" x14ac:dyDescent="0.15"/>
    <row r="57" spans="1:1" ht="15.75" customHeight="1" x14ac:dyDescent="0.15"/>
    <row r="58" spans="1:1" ht="15.75" customHeight="1" x14ac:dyDescent="0.15"/>
    <row r="59" spans="1:1" ht="15.75" customHeight="1" x14ac:dyDescent="0.15"/>
    <row r="60" spans="1:1" ht="15.75" customHeight="1" x14ac:dyDescent="0.15"/>
    <row r="61" spans="1:1" ht="15.75" customHeight="1" x14ac:dyDescent="0.15"/>
    <row r="62" spans="1:1" ht="15.75" customHeight="1" x14ac:dyDescent="0.15"/>
    <row r="63" spans="1:1" ht="15.75" customHeight="1" x14ac:dyDescent="0.15"/>
    <row r="64" spans="1:1" ht="15.75" customHeight="1" x14ac:dyDescent="0.15"/>
    <row r="65" spans="1:1" ht="15.75" customHeight="1" x14ac:dyDescent="0.15"/>
    <row r="66" spans="1:1" ht="15.75" customHeight="1" x14ac:dyDescent="0.15"/>
    <row r="67" spans="1:1" ht="15.75" customHeight="1" x14ac:dyDescent="0.15"/>
    <row r="68" spans="1:1" ht="15.75" customHeight="1" x14ac:dyDescent="0.15"/>
    <row r="69" spans="1:1" ht="15.75" customHeight="1" x14ac:dyDescent="0.15"/>
    <row r="70" spans="1:1" ht="15.75" customHeight="1" x14ac:dyDescent="0.15"/>
    <row r="71" spans="1:1" ht="15.75" customHeight="1" x14ac:dyDescent="0.15"/>
    <row r="72" spans="1:1" ht="15.75" customHeight="1" x14ac:dyDescent="0.15"/>
    <row r="73" spans="1:1" ht="15.75" customHeight="1" x14ac:dyDescent="0.15"/>
    <row r="74" spans="1:1" ht="15.75" customHeight="1" x14ac:dyDescent="0.15"/>
    <row r="75" spans="1:1" ht="15.75" customHeight="1" x14ac:dyDescent="0.15"/>
    <row r="76" spans="1:1" ht="15.75" customHeight="1" x14ac:dyDescent="0.15"/>
    <row r="77" spans="1:1" ht="15.75" customHeight="1" x14ac:dyDescent="0.15"/>
    <row r="78" spans="1:1" ht="15.75" customHeight="1" x14ac:dyDescent="0.15"/>
    <row r="79" spans="1:1" ht="15.75" customHeight="1" x14ac:dyDescent="0.15"/>
    <row r="80" spans="1:1" ht="15.75" customHeight="1" x14ac:dyDescent="0.15"/>
    <row r="81" spans="1:1" ht="15.75" customHeight="1" x14ac:dyDescent="0.15"/>
    <row r="82" spans="1:1" ht="15.75" customHeight="1" x14ac:dyDescent="0.15"/>
    <row r="83" spans="1:1" ht="15.75" customHeight="1" x14ac:dyDescent="0.15"/>
    <row r="84" spans="1:1" ht="15.75" customHeight="1" x14ac:dyDescent="0.15"/>
    <row r="85" spans="1:1" ht="15.75" customHeight="1" x14ac:dyDescent="0.15"/>
    <row r="86" spans="1:1" ht="15.75" customHeight="1" x14ac:dyDescent="0.15"/>
    <row r="87" spans="1:1" ht="15.75" customHeight="1" x14ac:dyDescent="0.15"/>
    <row r="88" spans="1:1" ht="15.75" customHeight="1" x14ac:dyDescent="0.15"/>
    <row r="89" spans="1:1" ht="15.75" customHeight="1" x14ac:dyDescent="0.15"/>
    <row r="90" spans="1:1" ht="15.75" customHeight="1" x14ac:dyDescent="0.15"/>
    <row r="91" spans="1:1" ht="15.75" customHeight="1" x14ac:dyDescent="0.15"/>
    <row r="92" spans="1:1" ht="15.75" customHeight="1" x14ac:dyDescent="0.15"/>
    <row r="93" spans="1:1" ht="15.75" customHeight="1" x14ac:dyDescent="0.15"/>
    <row r="94" spans="1:1" ht="15.75" customHeight="1" x14ac:dyDescent="0.15"/>
    <row r="95" spans="1:1" ht="15.75" customHeight="1" x14ac:dyDescent="0.15"/>
    <row r="96" spans="1:1" ht="15.75" customHeight="1" x14ac:dyDescent="0.15"/>
    <row r="97" spans="1:1" ht="15.75" customHeight="1" x14ac:dyDescent="0.15"/>
    <row r="98" spans="1:1" ht="15.75" customHeight="1" x14ac:dyDescent="0.15"/>
    <row r="99" spans="1:1" ht="15.75" customHeight="1" x14ac:dyDescent="0.15"/>
    <row r="100" spans="1:1" ht="15.75" customHeight="1" x14ac:dyDescent="0.15"/>
  </sheetData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X1172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" width="26.571428571428573" customWidth="1"/>
    <col min="2" max="3" width="12.571428571428571" customWidth="1"/>
    <col min="4" max="4" width="21.857142857142858" customWidth="1"/>
    <col min="5" max="5" width="23.142857142857142" customWidth="1"/>
    <col min="6" max="6" width="14.142857142857142" customWidth="1"/>
    <col min="7" max="7" width="29.428571428571427" customWidth="1"/>
    <col min="8" max="8" width="17.714285714285715" customWidth="1"/>
    <col min="9" max="9" width="23.571428571428573" customWidth="1"/>
    <col min="10" max="24" width="12.571428571428571" customWidth="1"/>
  </cols>
  <sheetData>
    <row r="1" spans="1:10" ht="15.75" customHeight="1" x14ac:dyDescent="0.15">
      <c r="A1" s="2" t="s">
        <v>0</v>
      </c>
      <c r="B1" s="3" t="s">
        <v>1</v>
      </c>
      <c r="C1" s="3" t="s">
        <v>2</v>
      </c>
      <c r="D1" s="3" t="s">
        <v>31</v>
      </c>
      <c r="E1" s="3" t="s">
        <v>32</v>
      </c>
      <c r="F1" s="3" t="s">
        <v>4</v>
      </c>
      <c r="G1" s="3" t="s">
        <v>5</v>
      </c>
      <c r="H1" s="2" t="s">
        <v>6</v>
      </c>
      <c r="I1" s="2" t="s">
        <v>33</v>
      </c>
      <c r="J1" s="4" t="s">
        <v>8</v>
      </c>
    </row>
    <row r="2" spans="1:10" ht="15.75" customHeight="1" x14ac:dyDescent="0.15">
      <c r="A2" s="5">
        <v>46040.62462962963</v>
      </c>
      <c r="B2" s="3"/>
      <c r="C2" s="3"/>
      <c r="D2" s="3" t="s">
        <v>34</v>
      </c>
      <c r="E2" s="3" t="s">
        <v>35</v>
      </c>
      <c r="F2" s="3" t="s">
        <v>10</v>
      </c>
      <c r="G2" s="3" t="s">
        <v>36</v>
      </c>
      <c r="H2" s="2" t="s">
        <v>37</v>
      </c>
      <c r="I2" s="2" t="s">
        <v>12</v>
      </c>
      <c r="J2" s="4" t="s">
        <v>38</v>
      </c>
    </row>
    <row r="3" spans="1:10" ht="15.75" customHeight="1" x14ac:dyDescent="0.15">
      <c r="A3" s="5">
        <v>46040.762604166666</v>
      </c>
      <c r="B3" s="3" t="s">
        <v>39</v>
      </c>
      <c r="C3" s="3" t="s">
        <v>15</v>
      </c>
      <c r="D3" s="3" t="s">
        <v>40</v>
      </c>
      <c r="E3" s="3" t="s">
        <v>41</v>
      </c>
      <c r="F3" s="3" t="s">
        <v>42</v>
      </c>
      <c r="G3" s="3" t="s">
        <v>43</v>
      </c>
      <c r="H3" s="2">
        <v>9.71543532543E11</v>
      </c>
      <c r="I3" s="2">
        <v>9.18882870078E11</v>
      </c>
      <c r="J3" s="4" t="s">
        <v>44</v>
      </c>
    </row>
    <row r="4" spans="1:10" ht="15.75" customHeight="1" x14ac:dyDescent="0.15">
      <c r="A4" s="5">
        <v>46040.88416666666</v>
      </c>
      <c r="B4" s="3" t="s">
        <v>39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2">
        <v>9.71509153992E11</v>
      </c>
      <c r="I4" s="2">
        <v>9.71509153992E11</v>
      </c>
      <c r="J4" s="4" t="s">
        <v>44</v>
      </c>
    </row>
    <row r="5" spans="1:10" ht="15.75" customHeight="1" x14ac:dyDescent="0.15">
      <c r="A5" s="5">
        <v>46040.89381944444</v>
      </c>
      <c r="B5" s="3" t="s">
        <v>39</v>
      </c>
      <c r="C5" s="3" t="s">
        <v>45</v>
      </c>
      <c r="D5" s="3" t="s">
        <v>50</v>
      </c>
      <c r="E5" s="3" t="s">
        <v>51</v>
      </c>
      <c r="F5" s="3" t="s">
        <v>52</v>
      </c>
      <c r="G5" s="3" t="s">
        <v>53</v>
      </c>
      <c r="H5" s="2">
        <v>9.71522177894E11</v>
      </c>
      <c r="I5" s="2">
        <v>5.22177894E8</v>
      </c>
      <c r="J5" s="4" t="s">
        <v>54</v>
      </c>
    </row>
    <row r="6" spans="1:10" ht="15.75" customHeight="1" x14ac:dyDescent="0.15">
      <c r="A6" s="5">
        <v>46041.81984953704</v>
      </c>
      <c r="B6" s="3" t="s">
        <v>39</v>
      </c>
      <c r="C6" s="3" t="s">
        <v>45</v>
      </c>
      <c r="D6" s="3" t="s">
        <v>50</v>
      </c>
      <c r="E6" s="3" t="s">
        <v>51</v>
      </c>
      <c r="F6" s="3" t="s">
        <v>55</v>
      </c>
      <c r="G6" s="3" t="s">
        <v>56</v>
      </c>
      <c r="H6" s="2">
        <v>9.7156995184E11</v>
      </c>
      <c r="I6" s="2">
        <v>9.7156995184E11</v>
      </c>
      <c r="J6" s="4" t="s">
        <v>57</v>
      </c>
    </row>
    <row r="7" spans="1:10" ht="15.75" customHeight="1" x14ac:dyDescent="0.15">
      <c r="A7" s="5">
        <v>46042.317824074074</v>
      </c>
      <c r="B7" s="3" t="s">
        <v>39</v>
      </c>
      <c r="C7" s="3" t="s">
        <v>45</v>
      </c>
      <c r="D7" s="3" t="s">
        <v>50</v>
      </c>
      <c r="E7" s="3" t="s">
        <v>41</v>
      </c>
      <c r="F7" s="3" t="s">
        <v>58</v>
      </c>
      <c r="G7" s="3" t="s">
        <v>59</v>
      </c>
      <c r="H7" s="2">
        <v>9.71559862576E11</v>
      </c>
      <c r="I7" s="2">
        <v>9.71559862576E11</v>
      </c>
      <c r="J7" s="4" t="s">
        <v>57</v>
      </c>
    </row>
    <row r="8" spans="1:10" ht="15.75" customHeight="1" x14ac:dyDescent="0.15">
      <c r="A8" s="5">
        <v>46042.6977662037</v>
      </c>
      <c r="B8" s="3" t="s">
        <v>39</v>
      </c>
      <c r="C8" s="3" t="s">
        <v>45</v>
      </c>
      <c r="D8" s="3" t="s">
        <v>40</v>
      </c>
      <c r="E8" s="3" t="s">
        <v>51</v>
      </c>
      <c r="F8" s="3" t="s">
        <v>60</v>
      </c>
      <c r="G8" s="3" t="s">
        <v>61</v>
      </c>
      <c r="H8" s="2">
        <v>9.71555538861E11</v>
      </c>
      <c r="I8" s="2">
        <v>9.71555538861E11</v>
      </c>
      <c r="J8" s="4" t="s">
        <v>44</v>
      </c>
    </row>
    <row r="9" spans="1:10" ht="15.75" customHeight="1" x14ac:dyDescent="0.15">
      <c r="A9" s="5">
        <v>46042.710023148145</v>
      </c>
      <c r="B9" s="3" t="s">
        <v>39</v>
      </c>
      <c r="C9" s="3" t="s">
        <v>15</v>
      </c>
      <c r="D9" s="3" t="s">
        <v>40</v>
      </c>
      <c r="E9" s="3" t="s">
        <v>51</v>
      </c>
      <c r="F9" s="3" t="s">
        <v>62</v>
      </c>
      <c r="G9" s="3" t="s">
        <v>63</v>
      </c>
      <c r="H9" s="2">
        <v>9.719982979517E12</v>
      </c>
      <c r="I9" s="2">
        <v>9.71585015279E11</v>
      </c>
      <c r="J9" s="4" t="s">
        <v>44</v>
      </c>
    </row>
    <row r="10" spans="1:10" ht="15.75" customHeight="1" x14ac:dyDescent="0.15">
      <c r="A10" s="5">
        <v>46042.81623842593</v>
      </c>
      <c r="B10" s="3" t="s">
        <v>39</v>
      </c>
      <c r="C10" s="3" t="s">
        <v>15</v>
      </c>
      <c r="D10" s="3" t="s">
        <v>50</v>
      </c>
      <c r="E10" s="3" t="s">
        <v>47</v>
      </c>
      <c r="F10" s="3" t="s">
        <v>64</v>
      </c>
      <c r="G10" s="3" t="s">
        <v>65</v>
      </c>
      <c r="H10" s="2">
        <v>9.71525905336E11</v>
      </c>
      <c r="I10" s="2">
        <v>9.71525905336E11</v>
      </c>
      <c r="J10" s="4" t="s">
        <v>66</v>
      </c>
    </row>
    <row r="11" spans="1:10" ht="15.75" customHeight="1" x14ac:dyDescent="0.15">
      <c r="A11" s="5">
        <v>46043.54172453703</v>
      </c>
      <c r="B11" s="3" t="s">
        <v>39</v>
      </c>
      <c r="C11" s="3" t="s">
        <v>45</v>
      </c>
      <c r="D11" s="3" t="s">
        <v>46</v>
      </c>
      <c r="E11" s="3" t="s">
        <v>47</v>
      </c>
      <c r="F11" s="3" t="s">
        <v>67</v>
      </c>
      <c r="G11" s="3" t="s">
        <v>68</v>
      </c>
      <c r="H11" s="2">
        <v>5.27391969E8</v>
      </c>
      <c r="I11" s="2">
        <v>9.71527391969E11</v>
      </c>
      <c r="J11" s="4" t="s">
        <v>44</v>
      </c>
    </row>
    <row r="12" spans="1:10" ht="15.75" customHeight="1" x14ac:dyDescent="0.15">
      <c r="A12" s="5">
        <v>46043.82256944444</v>
      </c>
      <c r="B12" s="3" t="s">
        <v>39</v>
      </c>
      <c r="C12" s="3" t="s">
        <v>15</v>
      </c>
      <c r="D12" s="3" t="s">
        <v>40</v>
      </c>
      <c r="E12" s="3" t="s">
        <v>51</v>
      </c>
      <c r="F12" s="3" t="s">
        <v>69</v>
      </c>
      <c r="G12" s="3" t="s">
        <v>70</v>
      </c>
      <c r="H12" s="2">
        <v>2.61349550748E11</v>
      </c>
      <c r="I12" s="2">
        <v>2.61349550748E11</v>
      </c>
      <c r="J12" s="4" t="s">
        <v>44</v>
      </c>
    </row>
    <row r="13" spans="1:24" ht="15.75" customHeight="1" x14ac:dyDescent="0.15">
      <c r="A13" s="6">
        <v>46043.867372685185</v>
      </c>
      <c r="B13" s="7" t="s">
        <v>39</v>
      </c>
      <c r="C13" s="7" t="s">
        <v>45</v>
      </c>
      <c r="D13" s="7" t="s">
        <v>50</v>
      </c>
      <c r="E13" s="7" t="s">
        <v>51</v>
      </c>
      <c r="F13" s="7" t="s">
        <v>71</v>
      </c>
      <c r="G13" s="7" t="s">
        <v>72</v>
      </c>
      <c r="H13" s="8">
        <v>2.0503904426E10</v>
      </c>
      <c r="I13" s="8">
        <v>9.71544497258E11</v>
      </c>
      <c r="J13" s="9" t="s">
        <v>73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10" ht="15.75" customHeight="1" x14ac:dyDescent="0.15">
      <c r="A14" s="5">
        <v>46044.218090277776</v>
      </c>
      <c r="B14" s="3" t="s">
        <v>39</v>
      </c>
      <c r="C14" s="3" t="s">
        <v>45</v>
      </c>
      <c r="D14" s="3" t="s">
        <v>50</v>
      </c>
      <c r="E14" s="3" t="s">
        <v>51</v>
      </c>
      <c r="F14" s="3" t="s">
        <v>74</v>
      </c>
      <c r="G14" s="3" t="s">
        <v>75</v>
      </c>
      <c r="H14" s="2" t="s">
        <v>76</v>
      </c>
      <c r="I14" s="2">
        <v>9.7155478696E11</v>
      </c>
      <c r="J14" s="4" t="s">
        <v>57</v>
      </c>
    </row>
    <row r="15" spans="1:10" ht="15.75" customHeight="1" x14ac:dyDescent="0.15">
      <c r="A15" s="5">
        <v>46044.22990740741</v>
      </c>
      <c r="B15" s="3" t="s">
        <v>39</v>
      </c>
      <c r="C15" s="3" t="s">
        <v>15</v>
      </c>
      <c r="D15" s="3" t="s">
        <v>50</v>
      </c>
      <c r="E15" s="3" t="s">
        <v>47</v>
      </c>
      <c r="F15" s="3" t="s">
        <v>77</v>
      </c>
      <c r="G15" s="3" t="s">
        <v>78</v>
      </c>
      <c r="H15" s="2">
        <v>9.71503263192E11</v>
      </c>
      <c r="I15" s="2">
        <v>9.71503263192E11</v>
      </c>
      <c r="J15" s="4" t="s">
        <v>54</v>
      </c>
    </row>
    <row r="16" spans="1:10" ht="15.75" customHeight="1" x14ac:dyDescent="0.15">
      <c r="A16" s="5">
        <v>46044.437569444446</v>
      </c>
      <c r="B16" s="3" t="s">
        <v>39</v>
      </c>
      <c r="C16" s="3" t="s">
        <v>15</v>
      </c>
      <c r="D16" s="3" t="s">
        <v>50</v>
      </c>
      <c r="E16" s="3" t="s">
        <v>51</v>
      </c>
      <c r="F16" s="3" t="s">
        <v>79</v>
      </c>
      <c r="G16" s="3" t="s">
        <v>80</v>
      </c>
      <c r="H16" s="2">
        <v>9.71506841566E11</v>
      </c>
      <c r="I16" s="2">
        <v>9.71556330165E11</v>
      </c>
      <c r="J16" s="4" t="s">
        <v>54</v>
      </c>
    </row>
    <row r="17" spans="1:10" ht="15.75" customHeight="1" x14ac:dyDescent="0.15">
      <c r="A17" s="5">
        <v>46044.52590277778</v>
      </c>
      <c r="B17" s="3" t="s">
        <v>39</v>
      </c>
      <c r="C17" s="3" t="s">
        <v>45</v>
      </c>
      <c r="D17" s="3" t="s">
        <v>50</v>
      </c>
      <c r="E17" s="3" t="s">
        <v>51</v>
      </c>
      <c r="F17" s="3" t="s">
        <v>81</v>
      </c>
      <c r="G17" s="3" t="s">
        <v>82</v>
      </c>
      <c r="H17" s="2">
        <v>9.71508802361E11</v>
      </c>
      <c r="I17" s="2">
        <v>9.71508802361E11</v>
      </c>
      <c r="J17" s="4" t="s">
        <v>44</v>
      </c>
    </row>
    <row r="18" spans="1:10" ht="15.75" customHeight="1" x14ac:dyDescent="0.15">
      <c r="A18" s="5">
        <v>46044.55579861111</v>
      </c>
      <c r="B18" s="3" t="s">
        <v>39</v>
      </c>
      <c r="C18" s="3" t="s">
        <v>15</v>
      </c>
      <c r="D18" s="3" t="s">
        <v>40</v>
      </c>
      <c r="E18" s="3" t="s">
        <v>51</v>
      </c>
      <c r="F18" s="3" t="s">
        <v>83</v>
      </c>
      <c r="G18" s="3" t="s">
        <v>84</v>
      </c>
      <c r="H18" s="2">
        <v>9.71502249977E11</v>
      </c>
      <c r="I18" s="2">
        <v>9.71502249977E11</v>
      </c>
      <c r="J18" s="4" t="s">
        <v>44</v>
      </c>
    </row>
    <row r="19" spans="1:10" ht="15.75" customHeight="1" x14ac:dyDescent="0.15">
      <c r="A19" s="5">
        <v>46044.786990740744</v>
      </c>
      <c r="B19" s="3" t="s">
        <v>39</v>
      </c>
      <c r="C19" s="3" t="s">
        <v>45</v>
      </c>
      <c r="D19" s="3" t="s">
        <v>50</v>
      </c>
      <c r="E19" s="3" t="s">
        <v>51</v>
      </c>
      <c r="F19" s="3" t="s">
        <v>85</v>
      </c>
      <c r="G19" s="3" t="s">
        <v>86</v>
      </c>
      <c r="H19" s="2">
        <v>9.71543907719E11</v>
      </c>
      <c r="I19" s="2">
        <v>9.71543907719E11</v>
      </c>
      <c r="J19" s="4" t="s">
        <v>44</v>
      </c>
    </row>
    <row r="20" spans="1:10" ht="15.75" customHeight="1" x14ac:dyDescent="0.15">
      <c r="A20" s="5">
        <v>46044.797164351854</v>
      </c>
      <c r="B20" s="3" t="s">
        <v>39</v>
      </c>
      <c r="C20" s="3" t="s">
        <v>45</v>
      </c>
      <c r="D20" s="3" t="s">
        <v>40</v>
      </c>
      <c r="E20" s="3" t="s">
        <v>51</v>
      </c>
      <c r="F20" s="3" t="s">
        <v>87</v>
      </c>
      <c r="G20" s="3" t="s">
        <v>88</v>
      </c>
      <c r="H20" s="2">
        <v>9.71506452651E11</v>
      </c>
      <c r="I20" s="2">
        <v>5.06452651E8</v>
      </c>
      <c r="J20" s="4" t="s">
        <v>89</v>
      </c>
    </row>
    <row r="21" spans="1:10" ht="15.75" customHeight="1" x14ac:dyDescent="0.15">
      <c r="A21" s="5">
        <v>46044.92181712963</v>
      </c>
      <c r="B21" s="3" t="s">
        <v>39</v>
      </c>
      <c r="C21" s="3" t="s">
        <v>45</v>
      </c>
      <c r="D21" s="3" t="s">
        <v>50</v>
      </c>
      <c r="E21" s="3" t="s">
        <v>47</v>
      </c>
      <c r="F21" s="3" t="s">
        <v>90</v>
      </c>
      <c r="G21" s="3" t="s">
        <v>91</v>
      </c>
      <c r="H21" s="2">
        <v>9.71543994114E11</v>
      </c>
      <c r="I21" s="2">
        <v>5.43994114E8</v>
      </c>
      <c r="J21" s="4" t="s">
        <v>57</v>
      </c>
    </row>
    <row r="22" spans="1:10" ht="15.75" customHeight="1" x14ac:dyDescent="0.15">
      <c r="A22" s="5">
        <v>46045.2712962963</v>
      </c>
      <c r="B22" s="3" t="s">
        <v>39</v>
      </c>
      <c r="C22" s="3" t="s">
        <v>15</v>
      </c>
      <c r="D22" s="3" t="s">
        <v>46</v>
      </c>
      <c r="E22" s="3" t="s">
        <v>51</v>
      </c>
      <c r="F22" s="3" t="s">
        <v>92</v>
      </c>
      <c r="G22" s="3" t="s">
        <v>93</v>
      </c>
      <c r="H22" s="2">
        <v>9.71564623797E11</v>
      </c>
      <c r="I22" s="2">
        <v>9.71564623797E11</v>
      </c>
      <c r="J22" s="4" t="s">
        <v>44</v>
      </c>
    </row>
    <row r="23" spans="1:10" ht="15.75" customHeight="1" x14ac:dyDescent="0.15">
      <c r="A23" s="5">
        <v>46045.28675925926</v>
      </c>
      <c r="B23" s="3" t="s">
        <v>39</v>
      </c>
      <c r="C23" s="3" t="s">
        <v>45</v>
      </c>
      <c r="D23" s="3" t="s">
        <v>50</v>
      </c>
      <c r="E23" s="3" t="s">
        <v>51</v>
      </c>
      <c r="F23" s="3" t="s">
        <v>94</v>
      </c>
      <c r="G23" s="3" t="s">
        <v>95</v>
      </c>
      <c r="H23" s="2">
        <v>9.7152838715E11</v>
      </c>
      <c r="I23" s="2">
        <v>5.2838715E8</v>
      </c>
      <c r="J23" s="4" t="s">
        <v>44</v>
      </c>
    </row>
    <row r="24" spans="1:10" ht="15.75" customHeight="1" x14ac:dyDescent="0.15">
      <c r="A24" s="5">
        <v>46045.303622685184</v>
      </c>
      <c r="B24" s="3" t="s">
        <v>39</v>
      </c>
      <c r="C24" s="3" t="s">
        <v>45</v>
      </c>
      <c r="D24" s="3" t="s">
        <v>40</v>
      </c>
      <c r="E24" s="3" t="s">
        <v>51</v>
      </c>
      <c r="F24" s="3" t="s">
        <v>96</v>
      </c>
      <c r="G24" s="3" t="s">
        <v>97</v>
      </c>
      <c r="H24" s="2">
        <v>9.71544969728E11</v>
      </c>
      <c r="I24" s="2">
        <v>0.0</v>
      </c>
      <c r="J24" s="4" t="s">
        <v>44</v>
      </c>
    </row>
    <row r="25" spans="1:10" ht="15.75" customHeight="1" x14ac:dyDescent="0.15">
      <c r="A25" s="5">
        <v>46045.44075231482</v>
      </c>
      <c r="B25" s="3" t="s">
        <v>39</v>
      </c>
      <c r="C25" s="3" t="s">
        <v>15</v>
      </c>
      <c r="D25" s="3" t="s">
        <v>50</v>
      </c>
      <c r="E25" s="3" t="s">
        <v>51</v>
      </c>
      <c r="F25" s="3" t="s">
        <v>98</v>
      </c>
      <c r="G25" s="3" t="s">
        <v>99</v>
      </c>
      <c r="H25" s="2">
        <v>9.71501288634E11</v>
      </c>
      <c r="I25" s="2">
        <v>4.47493117193E11</v>
      </c>
      <c r="J25" s="4" t="s">
        <v>100</v>
      </c>
    </row>
    <row r="26" spans="1:10" ht="15.75" customHeight="1" x14ac:dyDescent="0.15">
      <c r="A26" s="5">
        <v>46045.60454861111</v>
      </c>
      <c r="B26" s="3" t="s">
        <v>39</v>
      </c>
      <c r="C26" s="3" t="s">
        <v>45</v>
      </c>
      <c r="D26" s="3" t="s">
        <v>50</v>
      </c>
      <c r="E26" s="3" t="s">
        <v>51</v>
      </c>
      <c r="F26" s="3" t="s">
        <v>101</v>
      </c>
      <c r="G26" s="3" t="s">
        <v>102</v>
      </c>
      <c r="H26" s="2">
        <v>9.7155801625E11</v>
      </c>
      <c r="I26" s="5">
        <v>46045.751979166664</v>
      </c>
      <c r="J26" s="4" t="s">
        <v>44</v>
      </c>
    </row>
    <row r="27" spans="1:10" ht="15.75" customHeight="1" x14ac:dyDescent="0.15">
      <c r="B27" s="3" t="s">
        <v>39</v>
      </c>
      <c r="C27" s="3" t="s">
        <v>45</v>
      </c>
      <c r="D27" s="3" t="s">
        <v>40</v>
      </c>
      <c r="E27" s="3" t="s">
        <v>51</v>
      </c>
      <c r="F27" s="3" t="s">
        <v>103</v>
      </c>
      <c r="G27" s="3" t="s">
        <v>104</v>
      </c>
      <c r="H27" s="2">
        <v>9.7152506462E11</v>
      </c>
      <c r="I27" s="2">
        <v>9.7152506462E11</v>
      </c>
      <c r="J27" s="4" t="s">
        <v>44</v>
      </c>
    </row>
    <row r="28" spans="1:10" ht="15.75" customHeight="1" x14ac:dyDescent="0.15">
      <c r="A28" s="5">
        <v>46045.94207175926</v>
      </c>
      <c r="B28" s="3" t="s">
        <v>39</v>
      </c>
      <c r="C28" s="3" t="s">
        <v>15</v>
      </c>
      <c r="D28" s="3" t="s">
        <v>40</v>
      </c>
      <c r="E28" s="3" t="s">
        <v>51</v>
      </c>
      <c r="F28" s="3" t="s">
        <v>105</v>
      </c>
      <c r="G28" s="3" t="s">
        <v>106</v>
      </c>
      <c r="H28" s="2">
        <v>9.71508846056E11</v>
      </c>
      <c r="I28" s="2">
        <v>9.71508846056E11</v>
      </c>
      <c r="J28" s="4" t="s">
        <v>44</v>
      </c>
    </row>
    <row r="29" spans="1:10" ht="15.75" customHeight="1" x14ac:dyDescent="0.15">
      <c r="A29" s="5">
        <v>46046.216145833336</v>
      </c>
      <c r="B29" s="3" t="s">
        <v>39</v>
      </c>
      <c r="C29" s="3" t="s">
        <v>15</v>
      </c>
      <c r="D29" s="3" t="s">
        <v>40</v>
      </c>
      <c r="E29" s="3" t="s">
        <v>47</v>
      </c>
      <c r="F29" s="3" t="s">
        <v>107</v>
      </c>
      <c r="G29" s="3" t="s">
        <v>108</v>
      </c>
      <c r="H29" s="2">
        <v>9.71501139959E11</v>
      </c>
      <c r="I29" s="2">
        <v>9.71501139959E11</v>
      </c>
      <c r="J29" s="4" t="s">
        <v>109</v>
      </c>
    </row>
    <row r="30" spans="1:10" ht="15.75" customHeight="1" x14ac:dyDescent="0.15">
      <c r="A30" s="5">
        <v>46046.34278935185</v>
      </c>
      <c r="B30" s="3" t="s">
        <v>39</v>
      </c>
      <c r="C30" s="3" t="s">
        <v>15</v>
      </c>
      <c r="D30" s="3" t="s">
        <v>40</v>
      </c>
      <c r="E30" s="3" t="s">
        <v>51</v>
      </c>
      <c r="F30" s="3" t="s">
        <v>110</v>
      </c>
      <c r="G30" s="3" t="s">
        <v>111</v>
      </c>
      <c r="H30" s="2">
        <v>3.51925774269E11</v>
      </c>
      <c r="I30" s="2">
        <v>2.58848041562E11</v>
      </c>
      <c r="J30" s="4" t="s">
        <v>112</v>
      </c>
    </row>
    <row r="31" spans="1:10" ht="15.75" customHeight="1" x14ac:dyDescent="0.15">
      <c r="A31" s="5">
        <v>46046.509305555555</v>
      </c>
      <c r="B31" s="3" t="s">
        <v>39</v>
      </c>
      <c r="C31" s="3" t="s">
        <v>15</v>
      </c>
      <c r="D31" s="3" t="s">
        <v>50</v>
      </c>
      <c r="E31" s="3" t="s">
        <v>51</v>
      </c>
      <c r="F31" s="3" t="s">
        <v>113</v>
      </c>
      <c r="G31" s="3" t="s">
        <v>114</v>
      </c>
      <c r="H31" s="2">
        <v>9.71586878062E11</v>
      </c>
      <c r="I31" s="2">
        <v>9.71586878062E11</v>
      </c>
      <c r="J31" s="4" t="s">
        <v>44</v>
      </c>
    </row>
    <row r="32" spans="1:10" ht="15.75" customHeight="1" x14ac:dyDescent="0.15">
      <c r="A32" s="5">
        <v>46046.70428240741</v>
      </c>
      <c r="B32" s="3" t="s">
        <v>39</v>
      </c>
      <c r="C32" s="3" t="s">
        <v>45</v>
      </c>
      <c r="D32" s="3" t="s">
        <v>40</v>
      </c>
      <c r="E32" s="3" t="s">
        <v>51</v>
      </c>
      <c r="F32" s="3" t="s">
        <v>115</v>
      </c>
      <c r="G32" s="3" t="s">
        <v>116</v>
      </c>
      <c r="H32" s="2">
        <v>5.04470314E8</v>
      </c>
      <c r="I32" s="2">
        <v>5.04470314E8</v>
      </c>
      <c r="J32" s="4" t="s">
        <v>44</v>
      </c>
    </row>
    <row r="33" spans="1:10" ht="15.75" customHeight="1" x14ac:dyDescent="0.15">
      <c r="A33" s="5">
        <v>46046.737129629626</v>
      </c>
      <c r="B33" s="3" t="s">
        <v>39</v>
      </c>
      <c r="C33" s="3" t="s">
        <v>15</v>
      </c>
      <c r="D33" s="3" t="s">
        <v>40</v>
      </c>
      <c r="E33" s="3" t="s">
        <v>51</v>
      </c>
      <c r="F33" s="3" t="s">
        <v>117</v>
      </c>
      <c r="G33" s="3" t="s">
        <v>118</v>
      </c>
      <c r="H33" s="2">
        <v>9.71582920226E11</v>
      </c>
      <c r="I33" s="2">
        <v>9.71565012094E11</v>
      </c>
      <c r="J33" s="4" t="s">
        <v>44</v>
      </c>
    </row>
    <row r="34" spans="1:10" ht="15.75" customHeight="1" x14ac:dyDescent="0.15">
      <c r="A34" s="5">
        <v>46047.0903587963</v>
      </c>
      <c r="B34" s="3" t="s">
        <v>39</v>
      </c>
      <c r="C34" s="3" t="s">
        <v>15</v>
      </c>
      <c r="D34" s="3" t="s">
        <v>46</v>
      </c>
      <c r="E34" s="3" t="s">
        <v>47</v>
      </c>
      <c r="F34" s="3" t="s">
        <v>119</v>
      </c>
      <c r="G34" s="3" t="s">
        <v>120</v>
      </c>
      <c r="H34" s="2">
        <v>6.59876745801E11</v>
      </c>
      <c r="I34" s="2">
        <v>9.71508965165E11</v>
      </c>
      <c r="J34" s="4" t="s">
        <v>121</v>
      </c>
    </row>
    <row r="35" spans="1:10" ht="15.75" customHeight="1" x14ac:dyDescent="0.15">
      <c r="A35" s="5">
        <v>46047.09721064815</v>
      </c>
      <c r="B35" s="3" t="s">
        <v>39</v>
      </c>
      <c r="C35" s="3" t="s">
        <v>15</v>
      </c>
      <c r="D35" s="3" t="s">
        <v>40</v>
      </c>
      <c r="E35" s="3" t="s">
        <v>47</v>
      </c>
      <c r="F35" s="3" t="s">
        <v>122</v>
      </c>
      <c r="G35" s="3" t="s">
        <v>123</v>
      </c>
      <c r="H35" s="2">
        <v>9.71555550392E11</v>
      </c>
      <c r="I35" s="2">
        <v>9.71555550392E11</v>
      </c>
      <c r="J35" s="4" t="s">
        <v>124</v>
      </c>
    </row>
    <row r="36" spans="1:10" ht="15.75" customHeight="1" x14ac:dyDescent="0.15">
      <c r="A36" s="5">
        <v>46047.121458333335</v>
      </c>
      <c r="B36" s="3" t="s">
        <v>39</v>
      </c>
      <c r="C36" s="3" t="s">
        <v>45</v>
      </c>
      <c r="D36" s="3" t="s">
        <v>50</v>
      </c>
      <c r="E36" s="3" t="s">
        <v>47</v>
      </c>
      <c r="F36" s="3" t="s">
        <v>125</v>
      </c>
      <c r="G36" s="3" t="s">
        <v>126</v>
      </c>
      <c r="H36" s="2">
        <v>9.618161619E10</v>
      </c>
      <c r="I36" s="2">
        <v>9.71558034693E11</v>
      </c>
      <c r="J36" s="4" t="s">
        <v>127</v>
      </c>
    </row>
    <row r="37" spans="1:10" ht="15.75" customHeight="1" x14ac:dyDescent="0.15">
      <c r="A37" s="5">
        <v>46047.19869212963</v>
      </c>
      <c r="B37" s="3" t="s">
        <v>39</v>
      </c>
      <c r="C37" s="3" t="s">
        <v>15</v>
      </c>
      <c r="D37" s="3" t="s">
        <v>50</v>
      </c>
      <c r="E37" s="3" t="s">
        <v>51</v>
      </c>
      <c r="F37" s="3" t="s">
        <v>128</v>
      </c>
      <c r="G37" s="3" t="s">
        <v>129</v>
      </c>
      <c r="H37" s="2">
        <v>9.71509120879E11</v>
      </c>
      <c r="I37" s="2">
        <v>9.71509120879E11</v>
      </c>
      <c r="J37" s="4" t="s">
        <v>89</v>
      </c>
    </row>
    <row r="38" spans="1:10" ht="15.75" customHeight="1" x14ac:dyDescent="0.15">
      <c r="A38" s="5">
        <v>46047.201689814814</v>
      </c>
      <c r="B38" s="3" t="s">
        <v>39</v>
      </c>
      <c r="C38" s="3" t="s">
        <v>45</v>
      </c>
      <c r="D38" s="3" t="s">
        <v>40</v>
      </c>
      <c r="E38" s="3" t="s">
        <v>51</v>
      </c>
      <c r="F38" s="3" t="s">
        <v>130</v>
      </c>
      <c r="G38" s="3" t="s">
        <v>131</v>
      </c>
      <c r="H38" s="2">
        <v>9.71504818433E11</v>
      </c>
      <c r="I38" s="2">
        <v>5.06977713E8</v>
      </c>
      <c r="J38" s="4" t="s">
        <v>44</v>
      </c>
    </row>
    <row r="39" spans="1:10" ht="15.75" customHeight="1" x14ac:dyDescent="0.15">
      <c r="A39" s="5">
        <v>46047.36885416666</v>
      </c>
      <c r="B39" s="3" t="s">
        <v>39</v>
      </c>
      <c r="C39" s="3" t="s">
        <v>45</v>
      </c>
      <c r="D39" s="3" t="s">
        <v>50</v>
      </c>
      <c r="E39" s="3" t="s">
        <v>47</v>
      </c>
      <c r="F39" s="3" t="s">
        <v>132</v>
      </c>
      <c r="G39" s="3" t="s">
        <v>133</v>
      </c>
      <c r="H39" s="2">
        <v>9.71554831592E11</v>
      </c>
      <c r="I39" s="2">
        <v>9.71554831592E11</v>
      </c>
      <c r="J39" s="4" t="s">
        <v>134</v>
      </c>
    </row>
    <row r="40" spans="1:10" ht="15.75" customHeight="1" x14ac:dyDescent="0.15">
      <c r="A40" s="5">
        <v>46047.391168981485</v>
      </c>
      <c r="B40" s="3" t="s">
        <v>39</v>
      </c>
      <c r="C40" s="3" t="s">
        <v>15</v>
      </c>
      <c r="D40" s="3" t="s">
        <v>40</v>
      </c>
      <c r="E40" s="3" t="s">
        <v>47</v>
      </c>
      <c r="F40" s="3" t="s">
        <v>135</v>
      </c>
      <c r="G40" s="3" t="s">
        <v>136</v>
      </c>
      <c r="H40" s="2">
        <v>9.71563321814E11</v>
      </c>
      <c r="I40" s="2">
        <v>9.71563321814E11</v>
      </c>
      <c r="J40" s="4" t="s">
        <v>54</v>
      </c>
    </row>
    <row r="41" spans="1:10" ht="15.75" customHeight="1" x14ac:dyDescent="0.15">
      <c r="A41" s="5">
        <v>46047.50616898148</v>
      </c>
      <c r="B41" s="3" t="s">
        <v>39</v>
      </c>
      <c r="C41" s="3" t="s">
        <v>15</v>
      </c>
      <c r="D41" s="3" t="s">
        <v>40</v>
      </c>
      <c r="E41" s="3" t="s">
        <v>51</v>
      </c>
      <c r="F41" s="3" t="s">
        <v>137</v>
      </c>
      <c r="G41" s="3" t="s">
        <v>138</v>
      </c>
      <c r="H41" s="2">
        <v>9.71567782349E11</v>
      </c>
      <c r="I41" s="2">
        <v>9.71567782349E11</v>
      </c>
      <c r="J41" s="4" t="s">
        <v>139</v>
      </c>
    </row>
    <row r="42" spans="1:10" ht="15.75" customHeight="1" x14ac:dyDescent="0.15">
      <c r="A42" s="5">
        <v>46047.70247685185</v>
      </c>
      <c r="B42" s="3" t="s">
        <v>39</v>
      </c>
      <c r="C42" s="3" t="s">
        <v>45</v>
      </c>
      <c r="D42" s="3" t="s">
        <v>40</v>
      </c>
      <c r="E42" s="3" t="s">
        <v>51</v>
      </c>
      <c r="F42" s="3" t="s">
        <v>140</v>
      </c>
      <c r="G42" s="3" t="s">
        <v>141</v>
      </c>
      <c r="H42" s="2">
        <v>9.17994346354E11</v>
      </c>
      <c r="I42" s="2">
        <v>5.01691282E8</v>
      </c>
      <c r="J42" s="4" t="s">
        <v>44</v>
      </c>
    </row>
    <row r="43" spans="1:10" ht="15.75" customHeight="1" x14ac:dyDescent="0.15">
      <c r="A43" s="5">
        <v>46047.78650462963</v>
      </c>
      <c r="B43" s="3" t="s">
        <v>39</v>
      </c>
      <c r="C43" s="3" t="s">
        <v>15</v>
      </c>
      <c r="D43" s="3" t="s">
        <v>40</v>
      </c>
      <c r="E43" s="3" t="s">
        <v>51</v>
      </c>
      <c r="F43" s="3" t="s">
        <v>142</v>
      </c>
      <c r="G43" s="3" t="s">
        <v>143</v>
      </c>
      <c r="H43" s="2">
        <v>9.71569968309E11</v>
      </c>
      <c r="I43" s="2">
        <v>9.71569968309E11</v>
      </c>
      <c r="J43" s="4" t="s">
        <v>44</v>
      </c>
    </row>
    <row r="44" spans="1:10" ht="15.75" customHeight="1" x14ac:dyDescent="0.15">
      <c r="A44" s="5">
        <v>46048.13491898148</v>
      </c>
      <c r="B44" s="3" t="s">
        <v>39</v>
      </c>
      <c r="C44" s="3" t="s">
        <v>15</v>
      </c>
      <c r="D44" s="3" t="s">
        <v>50</v>
      </c>
      <c r="E44" s="3" t="s">
        <v>47</v>
      </c>
      <c r="F44" s="3" t="s">
        <v>144</v>
      </c>
      <c r="G44" s="3" t="s">
        <v>145</v>
      </c>
      <c r="H44" s="2">
        <v>9.71505526037E11</v>
      </c>
      <c r="I44" s="2">
        <v>9.71505526037E11</v>
      </c>
      <c r="J44" s="4" t="s">
        <v>44</v>
      </c>
    </row>
    <row r="45" spans="1:10" ht="15.75" customHeight="1" x14ac:dyDescent="0.15">
      <c r="A45" s="5">
        <v>46048.880266203705</v>
      </c>
      <c r="B45" s="3" t="s">
        <v>39</v>
      </c>
      <c r="C45" s="3" t="s">
        <v>45</v>
      </c>
      <c r="D45" s="3" t="s">
        <v>40</v>
      </c>
      <c r="E45" s="3" t="s">
        <v>51</v>
      </c>
      <c r="F45" s="3" t="s">
        <v>146</v>
      </c>
      <c r="G45" s="3" t="s">
        <v>147</v>
      </c>
      <c r="H45" s="2">
        <v>9.71569508608E11</v>
      </c>
      <c r="I45" s="2">
        <v>5.63949058E8</v>
      </c>
      <c r="J45" s="4" t="s">
        <v>54</v>
      </c>
    </row>
    <row r="46" spans="1:10" ht="15.75" customHeight="1" x14ac:dyDescent="0.15">
      <c r="A46" s="5">
        <v>46048.97378472222</v>
      </c>
      <c r="B46" s="3" t="s">
        <v>39</v>
      </c>
      <c r="C46" s="3" t="s">
        <v>15</v>
      </c>
      <c r="D46" s="3" t="s">
        <v>50</v>
      </c>
      <c r="E46" s="3" t="s">
        <v>47</v>
      </c>
      <c r="F46" s="3" t="s">
        <v>148</v>
      </c>
      <c r="G46" s="3" t="s">
        <v>149</v>
      </c>
      <c r="H46" s="2">
        <v>9.71569177141E11</v>
      </c>
      <c r="I46" s="2">
        <v>9.23323375587E11</v>
      </c>
      <c r="J46" s="4" t="s">
        <v>150</v>
      </c>
    </row>
    <row r="47" spans="1:10" ht="15.75" customHeight="1" x14ac:dyDescent="0.15">
      <c r="A47" s="5">
        <v>46049.3803587963</v>
      </c>
      <c r="B47" s="3" t="s">
        <v>39</v>
      </c>
      <c r="C47" s="3" t="s">
        <v>45</v>
      </c>
      <c r="D47" s="3" t="s">
        <v>50</v>
      </c>
      <c r="E47" s="3" t="s">
        <v>47</v>
      </c>
      <c r="F47" s="3" t="s">
        <v>151</v>
      </c>
      <c r="G47" s="3" t="s">
        <v>152</v>
      </c>
      <c r="H47" s="2">
        <v>9.71552241759E11</v>
      </c>
      <c r="I47" s="2">
        <v>5.52241759E8</v>
      </c>
      <c r="J47" s="4" t="s">
        <v>57</v>
      </c>
    </row>
    <row r="48" spans="1:10" ht="15.75" customHeight="1" x14ac:dyDescent="0.15">
      <c r="A48" s="5">
        <v>46049.588229166664</v>
      </c>
      <c r="B48" s="3" t="s">
        <v>39</v>
      </c>
      <c r="C48" s="3" t="s">
        <v>15</v>
      </c>
      <c r="D48" s="3" t="s">
        <v>50</v>
      </c>
      <c r="E48" s="3" t="s">
        <v>47</v>
      </c>
      <c r="F48" s="3" t="s">
        <v>153</v>
      </c>
      <c r="G48" s="3" t="s">
        <v>154</v>
      </c>
      <c r="H48" s="2">
        <v>9.71556468213E11</v>
      </c>
      <c r="I48" s="2">
        <v>9.71556468213E11</v>
      </c>
      <c r="J48" s="4" t="s">
        <v>89</v>
      </c>
    </row>
    <row r="49" spans="1:10" ht="15.75" customHeight="1" x14ac:dyDescent="0.15">
      <c r="A49" s="5">
        <v>46049.631261574075</v>
      </c>
      <c r="B49" s="3" t="s">
        <v>39</v>
      </c>
      <c r="C49" s="3" t="s">
        <v>15</v>
      </c>
      <c r="D49" s="3" t="s">
        <v>40</v>
      </c>
      <c r="E49" s="3" t="s">
        <v>47</v>
      </c>
      <c r="F49" s="3" t="s">
        <v>155</v>
      </c>
      <c r="G49" s="3" t="s">
        <v>156</v>
      </c>
      <c r="H49" s="2">
        <v>9.71564096089E11</v>
      </c>
      <c r="I49" s="2">
        <v>9.7155218939E11</v>
      </c>
      <c r="J49" s="4" t="s">
        <v>44</v>
      </c>
    </row>
    <row r="50" spans="1:10" ht="15.75" customHeight="1" x14ac:dyDescent="0.15">
      <c r="A50" s="5">
        <v>46050.28775462963</v>
      </c>
      <c r="B50" s="3" t="s">
        <v>39</v>
      </c>
      <c r="C50" s="3" t="s">
        <v>15</v>
      </c>
      <c r="D50" s="3" t="s">
        <v>40</v>
      </c>
      <c r="E50" s="3" t="s">
        <v>51</v>
      </c>
      <c r="F50" s="3" t="s">
        <v>157</v>
      </c>
      <c r="G50" s="3" t="s">
        <v>158</v>
      </c>
      <c r="H50" s="2">
        <v>9.71501632682E11</v>
      </c>
      <c r="I50" s="2">
        <v>9.71501632682E11</v>
      </c>
      <c r="J50" s="4" t="s">
        <v>44</v>
      </c>
    </row>
    <row r="51" spans="1:10" ht="15.75" customHeight="1" x14ac:dyDescent="0.15">
      <c r="A51" s="5">
        <v>46050.32545138889</v>
      </c>
      <c r="B51" s="3" t="s">
        <v>39</v>
      </c>
      <c r="C51" s="3" t="s">
        <v>45</v>
      </c>
      <c r="D51" s="3" t="s">
        <v>50</v>
      </c>
      <c r="E51" s="3" t="s">
        <v>47</v>
      </c>
      <c r="F51" s="3" t="s">
        <v>159</v>
      </c>
      <c r="G51" s="3" t="s">
        <v>160</v>
      </c>
      <c r="H51" s="2">
        <v>9.71568080958E11</v>
      </c>
      <c r="I51" s="2">
        <v>5.68080958E8</v>
      </c>
      <c r="J51" s="4" t="s">
        <v>44</v>
      </c>
    </row>
    <row r="52" spans="1:10" ht="15.75" customHeight="1" x14ac:dyDescent="0.15">
      <c r="A52" s="5">
        <v>46050.700150462966</v>
      </c>
      <c r="B52" s="3" t="s">
        <v>39</v>
      </c>
      <c r="C52" s="3" t="s">
        <v>15</v>
      </c>
      <c r="D52" s="3" t="s">
        <v>40</v>
      </c>
      <c r="E52" s="3" t="s">
        <v>41</v>
      </c>
      <c r="F52" s="3" t="s">
        <v>161</v>
      </c>
      <c r="G52" s="3" t="s">
        <v>162</v>
      </c>
      <c r="H52" s="2">
        <v>9.71504138219E11</v>
      </c>
      <c r="I52" s="2">
        <v>9.71568484631E11</v>
      </c>
      <c r="J52" s="4" t="s">
        <v>44</v>
      </c>
    </row>
    <row r="53" spans="1:10" ht="15.75" customHeight="1" x14ac:dyDescent="0.15">
      <c r="A53" s="5">
        <v>46050.70113425926</v>
      </c>
      <c r="B53" s="3" t="s">
        <v>39</v>
      </c>
      <c r="C53" s="3" t="s">
        <v>15</v>
      </c>
      <c r="D53" s="3" t="s">
        <v>50</v>
      </c>
      <c r="E53" s="3" t="s">
        <v>47</v>
      </c>
      <c r="F53" s="3" t="s">
        <v>163</v>
      </c>
      <c r="G53" s="3" t="s">
        <v>164</v>
      </c>
      <c r="H53" s="2">
        <v>9.71562038097E11</v>
      </c>
      <c r="I53" s="2">
        <v>9.71562038097E11</v>
      </c>
      <c r="J53" s="4" t="s">
        <v>89</v>
      </c>
    </row>
    <row r="54" spans="1:10" ht="15.75" customHeight="1" x14ac:dyDescent="0.15">
      <c r="A54" s="5">
        <v>46050.72430555556</v>
      </c>
      <c r="B54" s="3" t="s">
        <v>39</v>
      </c>
      <c r="C54" s="3" t="s">
        <v>15</v>
      </c>
      <c r="D54" s="3" t="s">
        <v>40</v>
      </c>
      <c r="E54" s="3" t="s">
        <v>51</v>
      </c>
      <c r="F54" s="3" t="s">
        <v>165</v>
      </c>
      <c r="G54" s="3" t="s">
        <v>166</v>
      </c>
      <c r="H54" s="2">
        <v>9.71564541107E11</v>
      </c>
      <c r="I54" s="2">
        <v>9.71564541107E11</v>
      </c>
      <c r="J54" s="4" t="s">
        <v>44</v>
      </c>
    </row>
    <row r="55" spans="1:10" ht="15.75" customHeight="1" x14ac:dyDescent="0.15">
      <c r="A55" s="5">
        <v>46050.77748842593</v>
      </c>
      <c r="B55" s="3" t="s">
        <v>39</v>
      </c>
      <c r="C55" s="3" t="s">
        <v>15</v>
      </c>
      <c r="D55" s="3" t="s">
        <v>50</v>
      </c>
      <c r="E55" s="3" t="s">
        <v>47</v>
      </c>
      <c r="F55" s="3" t="s">
        <v>167</v>
      </c>
      <c r="G55" s="3" t="s">
        <v>168</v>
      </c>
      <c r="H55" s="2">
        <v>9.7155626374E11</v>
      </c>
      <c r="I55" s="2">
        <v>9.7155626374E11</v>
      </c>
      <c r="J55" s="4" t="s">
        <v>44</v>
      </c>
    </row>
    <row r="56" spans="1:10" ht="15.75" customHeight="1" x14ac:dyDescent="0.15">
      <c r="A56" s="5">
        <v>46050.817291666666</v>
      </c>
      <c r="B56" s="3" t="s">
        <v>39</v>
      </c>
      <c r="C56" s="3" t="s">
        <v>45</v>
      </c>
      <c r="D56" s="3" t="s">
        <v>40</v>
      </c>
      <c r="E56" s="3" t="s">
        <v>51</v>
      </c>
      <c r="F56" s="3" t="s">
        <v>169</v>
      </c>
      <c r="G56" s="3" t="s">
        <v>170</v>
      </c>
      <c r="H56" s="2">
        <v>9.19665570924E11</v>
      </c>
      <c r="I56" s="2">
        <v>5.05702152E8</v>
      </c>
      <c r="J56" s="4" t="s">
        <v>54</v>
      </c>
    </row>
    <row r="57" spans="1:10" ht="15.75" customHeight="1" x14ac:dyDescent="0.15">
      <c r="A57" s="5">
        <v>46051.09369212963</v>
      </c>
      <c r="B57" s="3" t="s">
        <v>39</v>
      </c>
      <c r="C57" s="3" t="s">
        <v>15</v>
      </c>
      <c r="D57" s="3" t="s">
        <v>40</v>
      </c>
      <c r="E57" s="3" t="s">
        <v>47</v>
      </c>
      <c r="F57" s="3" t="s">
        <v>171</v>
      </c>
      <c r="G57" s="3" t="s">
        <v>172</v>
      </c>
      <c r="H57" s="2">
        <v>9.71506906141E11</v>
      </c>
      <c r="I57" s="2">
        <v>9.7150690614E11</v>
      </c>
      <c r="J57" s="4" t="s">
        <v>54</v>
      </c>
    </row>
    <row r="58" spans="1:10" ht="15.75" customHeight="1" x14ac:dyDescent="0.15">
      <c r="A58" s="5">
        <v>46051.659525462965</v>
      </c>
      <c r="B58" s="3" t="s">
        <v>39</v>
      </c>
      <c r="C58" s="3" t="s">
        <v>15</v>
      </c>
      <c r="D58" s="3" t="s">
        <v>40</v>
      </c>
      <c r="E58" s="3" t="s">
        <v>51</v>
      </c>
      <c r="F58" s="3" t="s">
        <v>173</v>
      </c>
      <c r="G58" s="3" t="s">
        <v>174</v>
      </c>
      <c r="H58" s="2">
        <v>9.71553278103E11</v>
      </c>
      <c r="I58" s="2">
        <v>9.71553278103E11</v>
      </c>
      <c r="J58" s="4" t="s">
        <v>54</v>
      </c>
    </row>
    <row r="59" spans="1:10" ht="15.75" customHeight="1" x14ac:dyDescent="0.15">
      <c r="A59" s="5">
        <v>46052.16600694445</v>
      </c>
      <c r="B59" s="3" t="s">
        <v>39</v>
      </c>
      <c r="C59" s="3" t="s">
        <v>15</v>
      </c>
      <c r="D59" s="3" t="s">
        <v>50</v>
      </c>
      <c r="E59" s="3" t="s">
        <v>51</v>
      </c>
      <c r="F59" s="3" t="s">
        <v>175</v>
      </c>
      <c r="G59" s="3" t="s">
        <v>176</v>
      </c>
      <c r="H59" s="2">
        <v>9.7155412098E11</v>
      </c>
      <c r="I59" s="2">
        <v>9.7155412098E11</v>
      </c>
      <c r="J59" s="4" t="s">
        <v>44</v>
      </c>
    </row>
    <row r="60" spans="1:10" ht="15.75" customHeight="1" x14ac:dyDescent="0.15">
      <c r="A60" s="5">
        <v>46052.22010416666</v>
      </c>
      <c r="B60" s="3" t="s">
        <v>39</v>
      </c>
      <c r="C60" s="3" t="s">
        <v>15</v>
      </c>
      <c r="D60" s="3" t="s">
        <v>40</v>
      </c>
      <c r="E60" s="3" t="s">
        <v>51</v>
      </c>
      <c r="F60" s="3" t="s">
        <v>177</v>
      </c>
      <c r="G60" s="3" t="s">
        <v>178</v>
      </c>
      <c r="H60" s="2">
        <v>9.715066990169E12</v>
      </c>
      <c r="I60" s="2">
        <v>9.7150786308E11</v>
      </c>
      <c r="J60" s="4" t="s">
        <v>44</v>
      </c>
    </row>
    <row r="61" spans="1:10" ht="15.75" customHeight="1" x14ac:dyDescent="0.15">
      <c r="A61" s="5">
        <v>46052.47090277778</v>
      </c>
      <c r="B61" s="3" t="s">
        <v>39</v>
      </c>
      <c r="C61" s="3" t="s">
        <v>45</v>
      </c>
      <c r="D61" s="3" t="s">
        <v>50</v>
      </c>
      <c r="E61" s="3" t="s">
        <v>51</v>
      </c>
      <c r="F61" s="3" t="s">
        <v>179</v>
      </c>
      <c r="G61" s="3" t="s">
        <v>180</v>
      </c>
      <c r="H61" s="2">
        <v>9.7155488483E11</v>
      </c>
      <c r="I61" s="2">
        <v>5.5488483E8</v>
      </c>
      <c r="J61" s="4" t="s">
        <v>54</v>
      </c>
    </row>
    <row r="62" spans="1:10" ht="15.75" customHeight="1" x14ac:dyDescent="0.15">
      <c r="A62" s="5">
        <v>46052.90920138889</v>
      </c>
      <c r="B62" s="3" t="s">
        <v>39</v>
      </c>
      <c r="C62" s="3" t="s">
        <v>15</v>
      </c>
      <c r="D62" s="3" t="s">
        <v>50</v>
      </c>
      <c r="E62" s="3" t="s">
        <v>47</v>
      </c>
      <c r="F62" s="3" t="s">
        <v>181</v>
      </c>
      <c r="G62" s="3" t="s">
        <v>182</v>
      </c>
      <c r="H62" s="2">
        <v>9.71506894345E11</v>
      </c>
      <c r="I62" s="2">
        <v>9.71506894345E11</v>
      </c>
      <c r="J62" s="4" t="s">
        <v>44</v>
      </c>
    </row>
    <row r="63" spans="1:10" ht="15.75" customHeight="1" x14ac:dyDescent="0.15">
      <c r="A63" s="5">
        <v>46053.58961805556</v>
      </c>
      <c r="B63" s="3" t="s">
        <v>39</v>
      </c>
      <c r="C63" s="3" t="s">
        <v>15</v>
      </c>
      <c r="D63" s="3" t="s">
        <v>40</v>
      </c>
      <c r="E63" s="3" t="s">
        <v>51</v>
      </c>
      <c r="F63" s="3" t="s">
        <v>183</v>
      </c>
      <c r="G63" s="3" t="s">
        <v>184</v>
      </c>
      <c r="H63" s="2">
        <v>9.71552371242E11</v>
      </c>
      <c r="I63" s="2">
        <v>9.715656863E11</v>
      </c>
      <c r="J63" s="4" t="s">
        <v>44</v>
      </c>
    </row>
    <row r="64" spans="1:10" ht="15.75" customHeight="1" x14ac:dyDescent="0.15">
      <c r="A64" s="5">
        <v>46054.25016203704</v>
      </c>
      <c r="B64" s="3" t="s">
        <v>39</v>
      </c>
      <c r="C64" s="3" t="s">
        <v>45</v>
      </c>
      <c r="D64" s="3" t="s">
        <v>40</v>
      </c>
      <c r="E64" s="3" t="s">
        <v>51</v>
      </c>
      <c r="F64" s="3" t="s">
        <v>185</v>
      </c>
      <c r="G64" s="3" t="s">
        <v>186</v>
      </c>
      <c r="H64" s="2">
        <v>5.03921201E8</v>
      </c>
      <c r="I64" s="2">
        <v>9.71503921201E11</v>
      </c>
      <c r="J64" s="4" t="s">
        <v>44</v>
      </c>
    </row>
    <row r="65" spans="1:10" ht="15.75" customHeight="1" x14ac:dyDescent="0.15">
      <c r="A65" s="5">
        <v>46054.325787037036</v>
      </c>
      <c r="B65" s="3" t="s">
        <v>39</v>
      </c>
      <c r="C65" s="3" t="s">
        <v>45</v>
      </c>
      <c r="D65" s="3" t="s">
        <v>50</v>
      </c>
      <c r="E65" s="3" t="s">
        <v>51</v>
      </c>
      <c r="F65" s="3" t="s">
        <v>187</v>
      </c>
      <c r="G65" s="3" t="s">
        <v>188</v>
      </c>
      <c r="H65" s="2">
        <v>9.18793738671E11</v>
      </c>
      <c r="I65" s="2">
        <v>9.71557379209E11</v>
      </c>
      <c r="J65" s="4" t="s">
        <v>44</v>
      </c>
    </row>
    <row r="66" spans="1:10" ht="15.75" customHeight="1" x14ac:dyDescent="0.15">
      <c r="A66" s="5">
        <v>46057.29721064815</v>
      </c>
      <c r="B66" s="3" t="s">
        <v>39</v>
      </c>
      <c r="C66" s="3" t="s">
        <v>15</v>
      </c>
      <c r="D66" s="3" t="s">
        <v>50</v>
      </c>
      <c r="E66" s="3" t="s">
        <v>51</v>
      </c>
      <c r="F66" s="3" t="s">
        <v>189</v>
      </c>
      <c r="G66" s="3" t="s">
        <v>190</v>
      </c>
      <c r="H66" s="2">
        <v>9.71506407156E11</v>
      </c>
      <c r="I66" s="2">
        <v>9.71506407156E11</v>
      </c>
      <c r="J66" s="4" t="s">
        <v>191</v>
      </c>
    </row>
    <row r="67" spans="1:10" ht="15.75" customHeight="1" x14ac:dyDescent="0.15">
      <c r="A67" s="5">
        <v>46057.49041666667</v>
      </c>
      <c r="B67" s="3" t="s">
        <v>39</v>
      </c>
      <c r="C67" s="3" t="s">
        <v>15</v>
      </c>
      <c r="D67" s="3" t="s">
        <v>50</v>
      </c>
      <c r="E67" s="3" t="s">
        <v>41</v>
      </c>
      <c r="F67" s="3" t="s">
        <v>192</v>
      </c>
      <c r="G67" s="3" t="s">
        <v>193</v>
      </c>
      <c r="H67" s="2">
        <v>2.01157768557E11</v>
      </c>
      <c r="I67" s="2">
        <v>2.01157768557E11</v>
      </c>
      <c r="J67" s="4" t="s">
        <v>194</v>
      </c>
    </row>
    <row r="68" spans="1:10" ht="15.75" customHeight="1" x14ac:dyDescent="0.15">
      <c r="A68" s="5">
        <v>46057.77908564815</v>
      </c>
      <c r="B68" s="3" t="s">
        <v>39</v>
      </c>
      <c r="C68" s="3" t="s">
        <v>15</v>
      </c>
      <c r="D68" s="3" t="s">
        <v>50</v>
      </c>
      <c r="E68" s="3" t="s">
        <v>51</v>
      </c>
      <c r="F68" s="3" t="s">
        <v>195</v>
      </c>
      <c r="G68" s="3" t="s">
        <v>196</v>
      </c>
      <c r="H68" s="2">
        <v>9.71542810994E11</v>
      </c>
      <c r="I68" s="2">
        <v>9.71542810994E11</v>
      </c>
      <c r="J68" s="4" t="s">
        <v>89</v>
      </c>
    </row>
    <row r="69" spans="1:10" ht="15.75" customHeight="1" x14ac:dyDescent="0.15">
      <c r="A69" s="5">
        <v>46057.84</v>
      </c>
      <c r="B69" s="3" t="s">
        <v>39</v>
      </c>
      <c r="C69" s="3" t="s">
        <v>15</v>
      </c>
      <c r="D69" s="3" t="s">
        <v>50</v>
      </c>
      <c r="E69" s="3" t="s">
        <v>51</v>
      </c>
      <c r="F69" s="3" t="s">
        <v>197</v>
      </c>
      <c r="G69" s="3" t="s">
        <v>198</v>
      </c>
      <c r="H69" s="2">
        <v>9.71501746839E11</v>
      </c>
      <c r="I69" s="2">
        <v>9.71501746839E11</v>
      </c>
      <c r="J69" s="4" t="s">
        <v>44</v>
      </c>
    </row>
    <row r="70" spans="1:10" ht="15.75" customHeight="1" x14ac:dyDescent="0.15">
      <c r="A70" s="5">
        <v>46063.548159722224</v>
      </c>
      <c r="B70" s="3" t="s">
        <v>39</v>
      </c>
      <c r="C70" s="3" t="s">
        <v>45</v>
      </c>
      <c r="D70" s="3" t="s">
        <v>46</v>
      </c>
      <c r="E70" s="3" t="s">
        <v>47</v>
      </c>
      <c r="F70" s="3" t="s">
        <v>199</v>
      </c>
      <c r="G70" s="3" t="s">
        <v>200</v>
      </c>
      <c r="H70" s="2">
        <v>9.7158164602E11</v>
      </c>
      <c r="I70" s="2">
        <v>5.8164602E8</v>
      </c>
      <c r="J70" s="4" t="s">
        <v>44</v>
      </c>
    </row>
    <row r="71" spans="1:10" ht="15.75" customHeight="1" x14ac:dyDescent="0.15">
      <c r="A71" s="5">
        <v>46057.84318287037</v>
      </c>
      <c r="B71" s="3" t="s">
        <v>39</v>
      </c>
      <c r="C71" s="3" t="s">
        <v>15</v>
      </c>
      <c r="D71" s="3" t="s">
        <v>40</v>
      </c>
      <c r="E71" s="3" t="s">
        <v>51</v>
      </c>
      <c r="F71" s="3" t="s">
        <v>201</v>
      </c>
      <c r="G71" s="3" t="s">
        <v>202</v>
      </c>
      <c r="H71" s="2">
        <v>9.71506441126E11</v>
      </c>
      <c r="I71" s="2">
        <v>9.7143213143E10</v>
      </c>
      <c r="J71" s="4" t="s">
        <v>54</v>
      </c>
    </row>
    <row r="72" spans="1:10" ht="15.75" customHeight="1" x14ac:dyDescent="0.15">
      <c r="A72" s="5">
        <v>46057.8728125</v>
      </c>
      <c r="B72" s="3" t="s">
        <v>39</v>
      </c>
      <c r="C72" s="3" t="s">
        <v>45</v>
      </c>
      <c r="D72" s="3" t="s">
        <v>50</v>
      </c>
      <c r="E72" s="3" t="s">
        <v>51</v>
      </c>
      <c r="F72" s="3" t="s">
        <v>203</v>
      </c>
      <c r="G72" s="3" t="s">
        <v>204</v>
      </c>
      <c r="H72" s="2">
        <v>9.7154516772E11</v>
      </c>
      <c r="I72" s="2">
        <v>5.4260101E8</v>
      </c>
      <c r="J72" s="4" t="s">
        <v>44</v>
      </c>
    </row>
    <row r="73" spans="1:10" ht="15.75" customHeight="1" x14ac:dyDescent="0.15">
      <c r="A73" s="5">
        <v>46057.92649305556</v>
      </c>
      <c r="B73" s="3" t="s">
        <v>39</v>
      </c>
      <c r="C73" s="3" t="s">
        <v>15</v>
      </c>
      <c r="D73" s="3" t="s">
        <v>46</v>
      </c>
      <c r="E73" s="3" t="s">
        <v>51</v>
      </c>
      <c r="F73" s="3" t="s">
        <v>205</v>
      </c>
      <c r="G73" s="3" t="s">
        <v>206</v>
      </c>
      <c r="H73" s="2">
        <v>9.7155183776E11</v>
      </c>
      <c r="I73" s="2">
        <v>9.7155183776E11</v>
      </c>
      <c r="J73" s="4" t="s">
        <v>44</v>
      </c>
    </row>
    <row r="74" spans="1:10" ht="15.75" customHeight="1" x14ac:dyDescent="0.15">
      <c r="A74" s="5">
        <v>46058.73467592592</v>
      </c>
      <c r="B74" s="3" t="s">
        <v>39</v>
      </c>
      <c r="C74" s="3" t="s">
        <v>45</v>
      </c>
      <c r="D74" s="3" t="s">
        <v>40</v>
      </c>
      <c r="E74" s="3" t="s">
        <v>51</v>
      </c>
      <c r="F74" s="3" t="s">
        <v>207</v>
      </c>
      <c r="G74" s="3" t="s">
        <v>208</v>
      </c>
      <c r="H74" s="2">
        <v>9.71567582689E11</v>
      </c>
      <c r="I74" s="2">
        <v>9.71567582689E11</v>
      </c>
      <c r="J74" s="4" t="s">
        <v>44</v>
      </c>
    </row>
    <row r="75" spans="1:10" ht="15.75" customHeight="1" x14ac:dyDescent="0.15">
      <c r="A75" s="5">
        <v>46058.83741898148</v>
      </c>
      <c r="B75" s="3" t="s">
        <v>39</v>
      </c>
      <c r="C75" s="3" t="s">
        <v>45</v>
      </c>
      <c r="D75" s="3" t="s">
        <v>50</v>
      </c>
      <c r="E75" s="3" t="s">
        <v>51</v>
      </c>
      <c r="F75" s="3" t="s">
        <v>209</v>
      </c>
      <c r="G75" s="3" t="s">
        <v>210</v>
      </c>
      <c r="H75" s="2">
        <v>9.71585665362E11</v>
      </c>
      <c r="I75" s="2">
        <v>5.85665362E8</v>
      </c>
      <c r="J75" s="4" t="s">
        <v>44</v>
      </c>
    </row>
    <row r="76" spans="1:10" ht="15.75" customHeight="1" x14ac:dyDescent="0.15">
      <c r="A76" s="5">
        <v>46058.85907407408</v>
      </c>
      <c r="B76" s="3" t="s">
        <v>39</v>
      </c>
      <c r="C76" s="3" t="s">
        <v>15</v>
      </c>
      <c r="D76" s="3" t="s">
        <v>40</v>
      </c>
      <c r="E76" s="3" t="s">
        <v>51</v>
      </c>
      <c r="F76" s="3" t="s">
        <v>211</v>
      </c>
      <c r="G76" s="3" t="s">
        <v>212</v>
      </c>
      <c r="H76" s="2">
        <v>9.19674013344E11</v>
      </c>
      <c r="I76" s="2">
        <v>9.19674013344E11</v>
      </c>
      <c r="J76" s="4" t="s">
        <v>150</v>
      </c>
    </row>
    <row r="77" spans="1:10" ht="15.75" customHeight="1" x14ac:dyDescent="0.15">
      <c r="A77" s="5">
        <v>46058.870104166665</v>
      </c>
      <c r="B77" s="3" t="s">
        <v>39</v>
      </c>
      <c r="C77" s="3" t="s">
        <v>15</v>
      </c>
      <c r="D77" s="3" t="s">
        <v>46</v>
      </c>
      <c r="E77" s="3" t="s">
        <v>51</v>
      </c>
      <c r="F77" s="3" t="s">
        <v>213</v>
      </c>
      <c r="G77" s="3" t="s">
        <v>214</v>
      </c>
      <c r="H77" s="2">
        <v>9.71542143739E11</v>
      </c>
      <c r="I77" s="2">
        <v>9.71542143739E11</v>
      </c>
      <c r="J77" s="4" t="s">
        <v>89</v>
      </c>
    </row>
    <row r="78" spans="1:10" ht="15.75" customHeight="1" x14ac:dyDescent="0.15">
      <c r="A78" s="5">
        <v>46059.115752314814</v>
      </c>
      <c r="B78" s="3" t="s">
        <v>39</v>
      </c>
      <c r="C78" s="3" t="s">
        <v>15</v>
      </c>
      <c r="D78" s="3" t="s">
        <v>40</v>
      </c>
      <c r="E78" s="3" t="s">
        <v>51</v>
      </c>
      <c r="F78" s="3" t="s">
        <v>215</v>
      </c>
      <c r="G78" s="3" t="s">
        <v>216</v>
      </c>
      <c r="H78" s="2">
        <v>9.71564039024E11</v>
      </c>
      <c r="I78" s="2">
        <v>9.71564039024E11</v>
      </c>
      <c r="J78" s="4" t="s">
        <v>54</v>
      </c>
    </row>
    <row r="79" spans="1:10" ht="15.75" customHeight="1" x14ac:dyDescent="0.15">
      <c r="A79" s="5">
        <v>46059.19320601852</v>
      </c>
      <c r="B79" s="3" t="s">
        <v>39</v>
      </c>
      <c r="C79" s="3" t="s">
        <v>45</v>
      </c>
      <c r="D79" s="3" t="s">
        <v>46</v>
      </c>
      <c r="E79" s="3" t="s">
        <v>51</v>
      </c>
      <c r="F79" s="3" t="s">
        <v>217</v>
      </c>
      <c r="G79" s="3" t="s">
        <v>218</v>
      </c>
      <c r="H79" s="2">
        <v>9.71585965645E11</v>
      </c>
      <c r="I79" s="2">
        <v>5.85965645E8</v>
      </c>
      <c r="J79" s="4" t="s">
        <v>44</v>
      </c>
    </row>
    <row r="80" spans="1:10" ht="15.75" customHeight="1" x14ac:dyDescent="0.15">
      <c r="A80" s="5">
        <v>46059.24049768518</v>
      </c>
      <c r="B80" s="3" t="s">
        <v>39</v>
      </c>
      <c r="C80" s="3" t="s">
        <v>15</v>
      </c>
      <c r="D80" s="3" t="s">
        <v>50</v>
      </c>
      <c r="E80" s="3" t="s">
        <v>51</v>
      </c>
      <c r="F80" s="3" t="s">
        <v>219</v>
      </c>
      <c r="G80" s="3" t="s">
        <v>220</v>
      </c>
      <c r="H80" s="2">
        <v>9.71522716463E11</v>
      </c>
      <c r="I80" s="2">
        <v>9.71522716463E11</v>
      </c>
      <c r="J80" s="4" t="s">
        <v>44</v>
      </c>
    </row>
    <row r="81" spans="1:10" ht="15.75" customHeight="1" x14ac:dyDescent="0.15">
      <c r="A81" s="5">
        <v>46059.39630787037</v>
      </c>
      <c r="B81" s="3" t="s">
        <v>39</v>
      </c>
      <c r="C81" s="3" t="s">
        <v>15</v>
      </c>
      <c r="D81" s="3" t="s">
        <v>46</v>
      </c>
      <c r="E81" s="3" t="s">
        <v>51</v>
      </c>
      <c r="F81" s="3" t="s">
        <v>221</v>
      </c>
      <c r="G81" s="3" t="s">
        <v>222</v>
      </c>
      <c r="H81" s="2">
        <v>9.89333729002E11</v>
      </c>
      <c r="I81" s="2">
        <v>9.89333729002E11</v>
      </c>
      <c r="J81" s="4" t="s">
        <v>223</v>
      </c>
    </row>
    <row r="82" spans="1:10" ht="15.75" customHeight="1" x14ac:dyDescent="0.15">
      <c r="A82" s="5">
        <v>46059.66710648148</v>
      </c>
      <c r="B82" s="3" t="s">
        <v>39</v>
      </c>
      <c r="C82" s="3" t="s">
        <v>15</v>
      </c>
      <c r="D82" s="3" t="s">
        <v>50</v>
      </c>
      <c r="E82" s="3" t="s">
        <v>51</v>
      </c>
      <c r="F82" s="3" t="s">
        <v>224</v>
      </c>
      <c r="G82" s="3" t="s">
        <v>225</v>
      </c>
      <c r="H82" s="2">
        <v>9.71555031767E11</v>
      </c>
      <c r="I82" s="2">
        <v>9.71555031767E11</v>
      </c>
      <c r="J82" s="4" t="s">
        <v>44</v>
      </c>
    </row>
    <row r="83" spans="1:10" ht="15.75" customHeight="1" x14ac:dyDescent="0.15">
      <c r="A83" s="5">
        <v>46059.70792824074</v>
      </c>
      <c r="B83" s="3" t="s">
        <v>39</v>
      </c>
      <c r="C83" s="3" t="s">
        <v>45</v>
      </c>
      <c r="D83" s="3" t="s">
        <v>46</v>
      </c>
      <c r="E83" s="3" t="s">
        <v>51</v>
      </c>
      <c r="F83" s="3" t="s">
        <v>226</v>
      </c>
      <c r="G83" s="3" t="s">
        <v>227</v>
      </c>
      <c r="H83" s="2">
        <v>7.1549960027E10</v>
      </c>
      <c r="I83" s="2">
        <v>7.1549960027E10</v>
      </c>
      <c r="J83" s="4" t="s">
        <v>44</v>
      </c>
    </row>
    <row r="84" spans="1:10" ht="15.75" customHeight="1" x14ac:dyDescent="0.15">
      <c r="A84" s="5">
        <v>46064.39978009259</v>
      </c>
      <c r="B84" s="3" t="s">
        <v>39</v>
      </c>
      <c r="C84" s="3" t="s">
        <v>45</v>
      </c>
      <c r="D84" s="3" t="s">
        <v>40</v>
      </c>
      <c r="E84" s="3" t="s">
        <v>51</v>
      </c>
      <c r="F84" s="3" t="s">
        <v>228</v>
      </c>
      <c r="G84" s="3" t="s">
        <v>229</v>
      </c>
      <c r="H84" s="2">
        <v>9.89124398002E11</v>
      </c>
      <c r="I84" s="2">
        <v>9.124398002E9</v>
      </c>
      <c r="J84" s="4" t="s">
        <v>223</v>
      </c>
    </row>
    <row r="85" spans="1:10" ht="15.75" customHeight="1" x14ac:dyDescent="0.15">
      <c r="A85" s="5">
        <v>46059.75991898148</v>
      </c>
      <c r="B85" s="3" t="s">
        <v>39</v>
      </c>
      <c r="C85" s="3" t="s">
        <v>45</v>
      </c>
      <c r="D85" s="3" t="s">
        <v>50</v>
      </c>
      <c r="E85" s="3" t="s">
        <v>51</v>
      </c>
      <c r="F85" s="3" t="s">
        <v>230</v>
      </c>
      <c r="G85" s="3" t="s">
        <v>231</v>
      </c>
      <c r="H85" s="2">
        <v>9.71567004747E11</v>
      </c>
      <c r="I85" s="2">
        <v>9.71567003776E11</v>
      </c>
      <c r="J85" s="4" t="s">
        <v>44</v>
      </c>
    </row>
    <row r="86" spans="1:10" ht="15.75" customHeight="1" x14ac:dyDescent="0.15">
      <c r="A86" s="5">
        <v>46059.76011574074</v>
      </c>
      <c r="B86" s="3" t="s">
        <v>39</v>
      </c>
      <c r="C86" s="3" t="s">
        <v>45</v>
      </c>
      <c r="D86" s="3" t="s">
        <v>50</v>
      </c>
      <c r="E86" s="3" t="s">
        <v>51</v>
      </c>
      <c r="F86" s="3" t="s">
        <v>232</v>
      </c>
      <c r="G86" s="3" t="s">
        <v>233</v>
      </c>
      <c r="H86" s="2">
        <v>9.7156354697E11</v>
      </c>
      <c r="I86" s="2">
        <v>5.0644163E8</v>
      </c>
      <c r="J86" s="4" t="s">
        <v>73</v>
      </c>
    </row>
    <row r="87" spans="1:10" ht="15.75" customHeight="1" x14ac:dyDescent="0.15">
      <c r="A87" s="5">
        <v>46059.85768518518</v>
      </c>
      <c r="B87" s="3" t="s">
        <v>39</v>
      </c>
      <c r="C87" s="3" t="s">
        <v>45</v>
      </c>
      <c r="D87" s="3" t="s">
        <v>50</v>
      </c>
      <c r="E87" s="3" t="s">
        <v>47</v>
      </c>
      <c r="F87" s="3" t="s">
        <v>234</v>
      </c>
      <c r="G87" s="3" t="s">
        <v>235</v>
      </c>
      <c r="H87" s="2">
        <v>9.71529704593E11</v>
      </c>
      <c r="I87" s="2">
        <v>5.29704593E8</v>
      </c>
      <c r="J87" s="4" t="s">
        <v>44</v>
      </c>
    </row>
    <row r="88" spans="1:10" ht="15.75" customHeight="1" x14ac:dyDescent="0.15">
      <c r="A88" s="5">
        <v>46059.976122685184</v>
      </c>
      <c r="B88" s="3" t="s">
        <v>39</v>
      </c>
      <c r="C88" s="3" t="s">
        <v>15</v>
      </c>
      <c r="D88" s="3" t="s">
        <v>46</v>
      </c>
      <c r="E88" s="3" t="s">
        <v>47</v>
      </c>
      <c r="F88" s="3" t="s">
        <v>236</v>
      </c>
      <c r="G88" s="3" t="s">
        <v>237</v>
      </c>
      <c r="H88" s="2">
        <v>9.71551723576E11</v>
      </c>
      <c r="I88" s="2">
        <v>9.71551723576E11</v>
      </c>
      <c r="J88" s="4" t="s">
        <v>238</v>
      </c>
    </row>
    <row r="89" spans="1:10" ht="15.75" customHeight="1" x14ac:dyDescent="0.15">
      <c r="A89" s="5">
        <v>46060.029131944444</v>
      </c>
      <c r="B89" s="3" t="s">
        <v>39</v>
      </c>
      <c r="C89" s="3" t="s">
        <v>15</v>
      </c>
      <c r="D89" s="3" t="s">
        <v>46</v>
      </c>
      <c r="E89" s="3" t="s">
        <v>51</v>
      </c>
      <c r="F89" s="3" t="s">
        <v>239</v>
      </c>
      <c r="G89" s="3" t="s">
        <v>240</v>
      </c>
      <c r="H89" s="2">
        <v>9.71553661742E11</v>
      </c>
      <c r="I89" s="2">
        <v>9.71553661742E11</v>
      </c>
      <c r="J89" s="4" t="s">
        <v>150</v>
      </c>
    </row>
    <row r="90" spans="1:10" ht="15.75" customHeight="1" x14ac:dyDescent="0.15">
      <c r="A90" s="5">
        <v>46060.483715277776</v>
      </c>
      <c r="B90" s="3" t="s">
        <v>39</v>
      </c>
      <c r="C90" s="3" t="s">
        <v>15</v>
      </c>
      <c r="D90" s="3" t="s">
        <v>50</v>
      </c>
      <c r="E90" s="3" t="s">
        <v>51</v>
      </c>
      <c r="F90" s="3" t="s">
        <v>241</v>
      </c>
      <c r="G90" s="3" t="s">
        <v>242</v>
      </c>
      <c r="H90" s="2">
        <v>9.71527587666E11</v>
      </c>
      <c r="I90" s="2">
        <v>9.71527587666E11</v>
      </c>
      <c r="J90" s="4" t="s">
        <v>44</v>
      </c>
    </row>
    <row r="91" spans="1:10" ht="15.75" customHeight="1" x14ac:dyDescent="0.15">
      <c r="A91" s="5">
        <v>46060.50991898148</v>
      </c>
      <c r="B91" s="3" t="s">
        <v>39</v>
      </c>
      <c r="C91" s="3" t="s">
        <v>15</v>
      </c>
      <c r="D91" s="3" t="s">
        <v>40</v>
      </c>
      <c r="E91" s="3" t="s">
        <v>51</v>
      </c>
      <c r="F91" s="3" t="s">
        <v>243</v>
      </c>
      <c r="G91" s="3" t="s">
        <v>244</v>
      </c>
      <c r="H91" s="2">
        <v>9.71504584717E11</v>
      </c>
      <c r="I91" s="2">
        <v>9.71504584717E11</v>
      </c>
      <c r="J91" s="4" t="s">
        <v>44</v>
      </c>
    </row>
    <row r="92" spans="1:10" ht="15.75" customHeight="1" x14ac:dyDescent="0.15">
      <c r="A92" s="5">
        <v>46060.58207175926</v>
      </c>
      <c r="B92" s="3" t="s">
        <v>39</v>
      </c>
      <c r="C92" s="3" t="s">
        <v>45</v>
      </c>
      <c r="D92" s="3" t="s">
        <v>50</v>
      </c>
      <c r="E92" s="3" t="s">
        <v>51</v>
      </c>
      <c r="F92" s="3" t="s">
        <v>245</v>
      </c>
      <c r="G92" s="3" t="s">
        <v>246</v>
      </c>
      <c r="H92" s="2">
        <v>9.71585940326E11</v>
      </c>
      <c r="I92" s="2">
        <v>5.66013349E8</v>
      </c>
      <c r="J92" s="4" t="s">
        <v>44</v>
      </c>
    </row>
    <row r="93" spans="1:11" ht="15.75" customHeight="1" x14ac:dyDescent="0.15">
      <c r="A93" s="5">
        <v>46060.728541666664</v>
      </c>
      <c r="B93" s="3" t="s">
        <v>39</v>
      </c>
      <c r="C93" s="3" t="s">
        <v>45</v>
      </c>
      <c r="D93" s="3" t="s">
        <v>46</v>
      </c>
      <c r="E93" s="3" t="s">
        <v>51</v>
      </c>
      <c r="F93" s="3" t="s">
        <v>247</v>
      </c>
      <c r="G93" s="3" t="s">
        <v>248</v>
      </c>
      <c r="H93" s="2">
        <v>9.71565343395E11</v>
      </c>
      <c r="I93" s="2">
        <v>9.71565343395E11</v>
      </c>
      <c r="J93" s="4" t="s">
        <v>44</v>
      </c>
      <c r="K93" s="11" t="s">
        <v>249</v>
      </c>
    </row>
    <row r="94" spans="1:10" ht="15.75" customHeight="1" x14ac:dyDescent="0.15">
      <c r="A94" s="5">
        <v>46061.2521412037</v>
      </c>
      <c r="B94" s="3" t="s">
        <v>39</v>
      </c>
      <c r="C94" s="3" t="s">
        <v>15</v>
      </c>
      <c r="D94" s="3" t="s">
        <v>50</v>
      </c>
      <c r="E94" s="3" t="s">
        <v>47</v>
      </c>
      <c r="F94" s="3" t="s">
        <v>250</v>
      </c>
      <c r="G94" s="3" t="s">
        <v>251</v>
      </c>
      <c r="H94" s="2">
        <v>6.6635201222E10</v>
      </c>
      <c r="I94" s="2">
        <v>6.6992916549E10</v>
      </c>
      <c r="J94" s="4" t="s">
        <v>252</v>
      </c>
    </row>
    <row r="95" spans="1:10" ht="15.75" customHeight="1" x14ac:dyDescent="0.15">
      <c r="A95" s="5">
        <v>46061.331967592596</v>
      </c>
      <c r="B95" s="3" t="s">
        <v>39</v>
      </c>
      <c r="C95" s="3" t="s">
        <v>45</v>
      </c>
      <c r="D95" s="3" t="s">
        <v>46</v>
      </c>
      <c r="E95" s="3" t="s">
        <v>41</v>
      </c>
      <c r="F95" s="3" t="s">
        <v>253</v>
      </c>
      <c r="G95" s="3" t="s">
        <v>254</v>
      </c>
      <c r="H95" s="2">
        <v>9.05344580333E11</v>
      </c>
      <c r="I95" s="2">
        <v>9.71509469907E11</v>
      </c>
      <c r="J95" s="4">
        <v>971.0</v>
      </c>
    </row>
    <row r="96" spans="1:10" ht="15.75" customHeight="1" x14ac:dyDescent="0.15">
      <c r="A96" s="5">
        <v>46061.595046296294</v>
      </c>
      <c r="B96" s="3" t="s">
        <v>39</v>
      </c>
      <c r="C96" s="3" t="s">
        <v>15</v>
      </c>
      <c r="D96" s="3" t="s">
        <v>40</v>
      </c>
      <c r="E96" s="3" t="s">
        <v>47</v>
      </c>
      <c r="F96" s="3" t="s">
        <v>255</v>
      </c>
      <c r="G96" s="3" t="s">
        <v>256</v>
      </c>
      <c r="H96" s="2">
        <v>9.71555525013E11</v>
      </c>
      <c r="I96" s="2">
        <v>9.7155525013E10</v>
      </c>
      <c r="J96" s="4" t="s">
        <v>44</v>
      </c>
    </row>
    <row r="97" spans="1:10" ht="15.75" customHeight="1" x14ac:dyDescent="0.15">
      <c r="A97" s="5">
        <v>46061.61221064815</v>
      </c>
      <c r="B97" s="3" t="s">
        <v>39</v>
      </c>
      <c r="C97" s="3" t="s">
        <v>45</v>
      </c>
      <c r="D97" s="3" t="s">
        <v>40</v>
      </c>
      <c r="E97" s="3" t="s">
        <v>51</v>
      </c>
      <c r="F97" s="3" t="s">
        <v>257</v>
      </c>
      <c r="G97" s="3" t="s">
        <v>258</v>
      </c>
      <c r="H97" s="2" t="s">
        <f>971508343515</f>
        <v>259</v>
      </c>
      <c r="I97" s="2">
        <v>9.718343515E9</v>
      </c>
      <c r="J97" s="4" t="s">
        <v>44</v>
      </c>
    </row>
    <row r="98" spans="1:10" ht="15.75" customHeight="1" x14ac:dyDescent="0.15">
      <c r="A98" s="5">
        <v>46061.70856481481</v>
      </c>
      <c r="B98" s="3" t="s">
        <v>39</v>
      </c>
      <c r="C98" s="3" t="s">
        <v>45</v>
      </c>
      <c r="D98" s="3" t="s">
        <v>50</v>
      </c>
      <c r="E98" s="3" t="s">
        <v>51</v>
      </c>
      <c r="F98" s="3" t="s">
        <v>260</v>
      </c>
      <c r="G98" s="3" t="s">
        <v>261</v>
      </c>
      <c r="H98" s="2">
        <v>9.7152382936E11</v>
      </c>
      <c r="I98" s="2">
        <v>5.2382936E8</v>
      </c>
      <c r="J98" s="4" t="s">
        <v>44</v>
      </c>
    </row>
    <row r="99" spans="1:10" ht="15.75" customHeight="1" x14ac:dyDescent="0.15">
      <c r="A99" s="5">
        <v>46061.74501157407</v>
      </c>
      <c r="B99" s="3" t="s">
        <v>39</v>
      </c>
      <c r="C99" s="3" t="s">
        <v>45</v>
      </c>
      <c r="D99" s="3" t="s">
        <v>46</v>
      </c>
      <c r="E99" s="3" t="s">
        <v>51</v>
      </c>
      <c r="F99" s="3" t="s">
        <v>262</v>
      </c>
      <c r="G99" s="3" t="s">
        <v>263</v>
      </c>
      <c r="H99" s="2">
        <v>9.71506445317E11</v>
      </c>
      <c r="I99" s="2">
        <v>5.06445317E8</v>
      </c>
      <c r="J99" s="4" t="s">
        <v>44</v>
      </c>
    </row>
    <row r="100" spans="1:10" ht="15.75" customHeight="1" x14ac:dyDescent="0.15">
      <c r="A100" s="5">
        <v>46061.88821759259</v>
      </c>
      <c r="B100" s="3" t="s">
        <v>39</v>
      </c>
      <c r="C100" s="3" t="s">
        <v>15</v>
      </c>
      <c r="D100" s="3" t="s">
        <v>40</v>
      </c>
      <c r="E100" s="3" t="s">
        <v>51</v>
      </c>
      <c r="F100" s="3" t="s">
        <v>264</v>
      </c>
      <c r="G100" s="3" t="s">
        <v>265</v>
      </c>
      <c r="H100" s="2">
        <v>9.715687547E11</v>
      </c>
      <c r="I100" s="2">
        <v>9.715687547E11</v>
      </c>
      <c r="J100" s="4" t="s">
        <v>89</v>
      </c>
    </row>
    <row r="101" spans="1:10" ht="15.75" customHeight="1" x14ac:dyDescent="0.15">
      <c r="A101" s="5">
        <v>46062.511400462965</v>
      </c>
      <c r="B101" s="3" t="s">
        <v>39</v>
      </c>
      <c r="C101" s="3" t="s">
        <v>15</v>
      </c>
      <c r="D101" s="3" t="s">
        <v>40</v>
      </c>
      <c r="E101" s="3" t="s">
        <v>51</v>
      </c>
      <c r="F101" s="3" t="s">
        <v>266</v>
      </c>
      <c r="G101" s="3" t="s">
        <v>267</v>
      </c>
      <c r="H101" s="2">
        <v>9.71568236491E11</v>
      </c>
      <c r="I101" s="2">
        <v>9.71568236491E11</v>
      </c>
      <c r="J101" s="4" t="s">
        <v>54</v>
      </c>
    </row>
    <row r="102" spans="1:10" ht="15.75" customHeight="1" x14ac:dyDescent="0.15">
      <c r="A102" s="5">
        <v>46062.5796412037</v>
      </c>
      <c r="B102" s="3" t="s">
        <v>39</v>
      </c>
      <c r="C102" s="3" t="s">
        <v>45</v>
      </c>
      <c r="D102" s="3" t="s">
        <v>40</v>
      </c>
      <c r="E102" s="3" t="s">
        <v>51</v>
      </c>
      <c r="F102" s="3" t="s">
        <v>268</v>
      </c>
      <c r="G102" s="3" t="s">
        <v>269</v>
      </c>
      <c r="H102" s="2">
        <v>9.71559943829E11</v>
      </c>
      <c r="I102" s="2">
        <v>9.71559943833E11</v>
      </c>
      <c r="J102" s="4" t="s">
        <v>54</v>
      </c>
    </row>
    <row r="103" spans="1:10" ht="15.75" customHeight="1" x14ac:dyDescent="0.15">
      <c r="A103" s="5">
        <v>46062.67607638889</v>
      </c>
      <c r="B103" s="3" t="s">
        <v>39</v>
      </c>
      <c r="C103" s="3" t="s">
        <v>45</v>
      </c>
      <c r="D103" s="3" t="s">
        <v>50</v>
      </c>
      <c r="E103" s="3" t="s">
        <v>51</v>
      </c>
      <c r="F103" s="3" t="s">
        <v>270</v>
      </c>
      <c r="G103" s="3" t="s">
        <v>271</v>
      </c>
      <c r="H103" s="2">
        <v>9.71524284415E11</v>
      </c>
      <c r="I103" s="2">
        <v>9.71524284415E11</v>
      </c>
      <c r="J103" s="4" t="s">
        <v>44</v>
      </c>
    </row>
    <row r="104" spans="1:10" ht="15.75" customHeight="1" x14ac:dyDescent="0.15">
      <c r="A104" s="5">
        <v>46062.74596064815</v>
      </c>
      <c r="B104" s="3" t="s">
        <v>39</v>
      </c>
      <c r="C104" s="3" t="s">
        <v>45</v>
      </c>
      <c r="D104" s="3" t="s">
        <v>50</v>
      </c>
      <c r="E104" s="3" t="s">
        <v>47</v>
      </c>
      <c r="F104" s="3" t="s">
        <v>272</v>
      </c>
      <c r="G104" s="3" t="s">
        <v>273</v>
      </c>
      <c r="H104" s="2">
        <v>5.08418513E8</v>
      </c>
      <c r="I104" s="2">
        <v>5.08418513E8</v>
      </c>
      <c r="J104" s="4" t="s">
        <v>44</v>
      </c>
    </row>
    <row r="105" spans="1:10" ht="15.75" customHeight="1" x14ac:dyDescent="0.15">
      <c r="A105" s="5">
        <v>46062.76451388889</v>
      </c>
      <c r="B105" s="3" t="s">
        <v>39</v>
      </c>
      <c r="C105" s="3" t="s">
        <v>45</v>
      </c>
      <c r="D105" s="3" t="s">
        <v>40</v>
      </c>
      <c r="E105" s="3" t="s">
        <v>51</v>
      </c>
      <c r="F105" s="3" t="s">
        <v>274</v>
      </c>
      <c r="G105" s="3" t="s">
        <v>275</v>
      </c>
      <c r="H105" s="2">
        <v>9.7150118703E11</v>
      </c>
      <c r="I105" s="2">
        <v>5.0118703E8</v>
      </c>
      <c r="J105" s="4" t="s">
        <v>223</v>
      </c>
    </row>
    <row r="106" spans="1:10" ht="15.75" customHeight="1" x14ac:dyDescent="0.15">
      <c r="A106" s="5">
        <v>46062.90488425926</v>
      </c>
      <c r="B106" s="3" t="s">
        <v>39</v>
      </c>
      <c r="C106" s="3" t="s">
        <v>15</v>
      </c>
      <c r="D106" s="3" t="s">
        <v>50</v>
      </c>
      <c r="E106" s="3" t="s">
        <v>51</v>
      </c>
      <c r="F106" s="3" t="s">
        <v>276</v>
      </c>
      <c r="G106" s="3" t="s">
        <v>277</v>
      </c>
      <c r="H106" s="2">
        <v>9.71506026162E11</v>
      </c>
      <c r="I106" s="2">
        <v>9.71506026162E11</v>
      </c>
      <c r="J106" s="4" t="s">
        <v>150</v>
      </c>
    </row>
    <row r="107" spans="1:10" ht="15.75" customHeight="1" x14ac:dyDescent="0.15">
      <c r="A107" s="5">
        <v>46063.27909722222</v>
      </c>
      <c r="B107" s="3" t="s">
        <v>39</v>
      </c>
      <c r="C107" s="3" t="s">
        <v>45</v>
      </c>
      <c r="D107" s="3" t="s">
        <v>40</v>
      </c>
      <c r="E107" s="3" t="s">
        <v>51</v>
      </c>
      <c r="F107" s="3" t="s">
        <v>278</v>
      </c>
      <c r="G107" s="3" t="s">
        <v>279</v>
      </c>
      <c r="H107" s="2">
        <v>9.71585184813E11</v>
      </c>
      <c r="I107" s="2">
        <v>5.85184813E8</v>
      </c>
      <c r="J107" s="4" t="s">
        <v>44</v>
      </c>
    </row>
    <row r="108" spans="1:10" ht="15.75" customHeight="1" x14ac:dyDescent="0.15">
      <c r="A108" s="5">
        <v>46063.59423611111</v>
      </c>
      <c r="B108" s="3" t="s">
        <v>39</v>
      </c>
      <c r="C108" s="3" t="s">
        <v>45</v>
      </c>
      <c r="D108" s="3" t="s">
        <v>40</v>
      </c>
      <c r="E108" s="3" t="s">
        <v>51</v>
      </c>
      <c r="F108" s="3" t="s">
        <v>280</v>
      </c>
      <c r="G108" s="3" t="s">
        <v>281</v>
      </c>
      <c r="H108" s="2">
        <v>9.71502925125E11</v>
      </c>
      <c r="I108" s="2">
        <v>5.02925125E8</v>
      </c>
      <c r="J108" s="4" t="s">
        <v>44</v>
      </c>
    </row>
    <row r="109" spans="1:10" ht="15.75" customHeight="1" x14ac:dyDescent="0.15">
      <c r="A109" s="5">
        <v>46063.70585648148</v>
      </c>
      <c r="B109" s="3" t="s">
        <v>39</v>
      </c>
      <c r="C109" s="3" t="s">
        <v>45</v>
      </c>
      <c r="D109" s="3" t="s">
        <v>50</v>
      </c>
      <c r="E109" s="3" t="s">
        <v>41</v>
      </c>
      <c r="F109" s="3" t="s">
        <v>282</v>
      </c>
      <c r="G109" s="3" t="s">
        <v>283</v>
      </c>
      <c r="H109" s="2">
        <v>9.71586822103E11</v>
      </c>
      <c r="I109" s="2">
        <v>5.86822103E8</v>
      </c>
      <c r="J109" s="4" t="s">
        <v>44</v>
      </c>
    </row>
    <row r="110" spans="1:10" ht="15.75" customHeight="1" x14ac:dyDescent="0.15">
      <c r="A110" s="5">
        <v>46063.71913194445</v>
      </c>
      <c r="B110" s="3" t="s">
        <v>39</v>
      </c>
      <c r="C110" s="3" t="s">
        <v>45</v>
      </c>
      <c r="D110" s="3" t="s">
        <v>50</v>
      </c>
      <c r="E110" s="3" t="s">
        <v>51</v>
      </c>
      <c r="F110" s="3" t="s">
        <v>284</v>
      </c>
      <c r="G110" s="3" t="s">
        <v>285</v>
      </c>
      <c r="H110" s="2">
        <v>9.71506575477E11</v>
      </c>
      <c r="I110" s="2">
        <v>5.06505864E8</v>
      </c>
      <c r="J110" s="4" t="s">
        <v>44</v>
      </c>
    </row>
    <row r="111" spans="1:10" ht="15.75" customHeight="1" x14ac:dyDescent="0.15">
      <c r="A111" s="5">
        <v>46063.766701388886</v>
      </c>
      <c r="B111" s="3" t="s">
        <v>39</v>
      </c>
      <c r="C111" s="3" t="s">
        <v>45</v>
      </c>
      <c r="D111" s="3" t="s">
        <v>50</v>
      </c>
      <c r="E111" s="3" t="s">
        <v>51</v>
      </c>
      <c r="F111" s="3" t="s">
        <v>286</v>
      </c>
      <c r="G111" s="3" t="s">
        <v>287</v>
      </c>
      <c r="H111" s="2">
        <v>9.71559219423E11</v>
      </c>
      <c r="I111" s="2">
        <v>9.71559219423E11</v>
      </c>
      <c r="J111" s="4" t="s">
        <v>44</v>
      </c>
    </row>
    <row r="112" spans="1:10" ht="15.75" customHeight="1" x14ac:dyDescent="0.15">
      <c r="A112" s="5">
        <v>46063.77559027778</v>
      </c>
      <c r="B112" s="3" t="s">
        <v>39</v>
      </c>
      <c r="C112" s="3" t="s">
        <v>45</v>
      </c>
      <c r="D112" s="3" t="s">
        <v>50</v>
      </c>
      <c r="E112" s="3" t="s">
        <v>47</v>
      </c>
      <c r="F112" s="3" t="s">
        <v>288</v>
      </c>
      <c r="G112" s="3" t="s">
        <v>289</v>
      </c>
      <c r="H112" s="2">
        <v>9.71561284613E11</v>
      </c>
      <c r="I112" s="2">
        <v>5.61284613E8</v>
      </c>
      <c r="J112" s="4" t="s">
        <v>44</v>
      </c>
    </row>
    <row r="113" spans="1:10" ht="15.75" customHeight="1" x14ac:dyDescent="0.15">
      <c r="A113" s="5">
        <v>46063.93678240741</v>
      </c>
      <c r="B113" s="3" t="s">
        <v>39</v>
      </c>
      <c r="C113" s="3" t="s">
        <v>45</v>
      </c>
      <c r="D113" s="3" t="s">
        <v>40</v>
      </c>
      <c r="E113" s="3" t="s">
        <v>51</v>
      </c>
      <c r="F113" s="3" t="s">
        <v>290</v>
      </c>
      <c r="G113" s="3" t="s">
        <v>291</v>
      </c>
      <c r="H113" s="2">
        <v>5.69101555E8</v>
      </c>
      <c r="I113" s="2">
        <v>9.71544911116E11</v>
      </c>
      <c r="J113" s="4" t="s">
        <v>44</v>
      </c>
    </row>
    <row r="114" spans="1:10" ht="15.75" customHeight="1" x14ac:dyDescent="0.15">
      <c r="A114" s="5">
        <v>46064.29462962963</v>
      </c>
      <c r="B114" s="3" t="s">
        <v>39</v>
      </c>
      <c r="C114" s="3" t="s">
        <v>45</v>
      </c>
      <c r="D114" s="3" t="s">
        <v>50</v>
      </c>
      <c r="E114" s="3" t="s">
        <v>51</v>
      </c>
      <c r="F114" s="3" t="s">
        <v>292</v>
      </c>
      <c r="G114" s="3" t="s">
        <v>293</v>
      </c>
      <c r="H114" s="2">
        <v>9.71561076465E11</v>
      </c>
      <c r="I114" s="2">
        <v>5.61076465E8</v>
      </c>
      <c r="J114" s="4" t="s">
        <v>44</v>
      </c>
    </row>
    <row r="115" spans="1:10" ht="15.75" customHeight="1" x14ac:dyDescent="0.15">
      <c r="A115" s="5">
        <v>46064.64871527778</v>
      </c>
      <c r="B115" s="3" t="s">
        <v>39</v>
      </c>
      <c r="C115" s="3" t="s">
        <v>45</v>
      </c>
      <c r="D115" s="3" t="s">
        <v>40</v>
      </c>
      <c r="E115" s="3" t="s">
        <v>51</v>
      </c>
      <c r="F115" s="3" t="s">
        <v>294</v>
      </c>
      <c r="G115" s="3" t="s">
        <v>295</v>
      </c>
      <c r="H115" s="2">
        <v>9.71525277796E11</v>
      </c>
      <c r="I115" s="2">
        <v>5.25277796E8</v>
      </c>
      <c r="J115" s="4" t="s">
        <v>44</v>
      </c>
    </row>
    <row r="116" spans="1:10" ht="15.75" customHeight="1" x14ac:dyDescent="0.15">
      <c r="A116" s="5">
        <v>46064.75268518519</v>
      </c>
      <c r="B116" s="3" t="s">
        <v>39</v>
      </c>
      <c r="C116" s="3" t="s">
        <v>45</v>
      </c>
      <c r="D116" s="3" t="s">
        <v>50</v>
      </c>
      <c r="E116" s="3" t="s">
        <v>47</v>
      </c>
      <c r="F116" s="3" t="s">
        <v>296</v>
      </c>
      <c r="G116" s="3" t="s">
        <v>297</v>
      </c>
      <c r="H116" s="2">
        <v>9.71502676625E11</v>
      </c>
      <c r="I116" s="2">
        <v>9.71502676625E11</v>
      </c>
      <c r="J116" s="4" t="s">
        <v>89</v>
      </c>
    </row>
    <row r="117" spans="1:10" ht="15.75" customHeight="1" x14ac:dyDescent="0.15">
      <c r="A117" s="5">
        <v>46064.771469907406</v>
      </c>
      <c r="B117" s="3" t="s">
        <v>39</v>
      </c>
      <c r="C117" s="3" t="s">
        <v>45</v>
      </c>
      <c r="D117" s="3" t="s">
        <v>46</v>
      </c>
      <c r="E117" s="3" t="s">
        <v>47</v>
      </c>
      <c r="F117" s="3" t="s">
        <v>298</v>
      </c>
      <c r="G117" s="3" t="s">
        <v>299</v>
      </c>
      <c r="H117" s="2">
        <v>9.71509037867E11</v>
      </c>
      <c r="I117" s="2">
        <v>9.71509037867E11</v>
      </c>
      <c r="J117" s="4" t="s">
        <v>44</v>
      </c>
    </row>
    <row r="118" spans="1:10" ht="15.75" customHeight="1" x14ac:dyDescent="0.15">
      <c r="A118" s="5">
        <v>46064.790243055555</v>
      </c>
      <c r="B118" s="3" t="s">
        <v>39</v>
      </c>
      <c r="C118" s="3" t="s">
        <v>45</v>
      </c>
      <c r="D118" s="3" t="s">
        <v>40</v>
      </c>
      <c r="E118" s="3" t="s">
        <v>47</v>
      </c>
      <c r="F118" s="3" t="s">
        <v>300</v>
      </c>
      <c r="G118" s="3" t="s">
        <v>301</v>
      </c>
      <c r="H118" s="2">
        <v>4.1764192962E10</v>
      </c>
      <c r="I118" s="2">
        <v>4.1764192962E10</v>
      </c>
      <c r="J118" s="4" t="s">
        <v>252</v>
      </c>
    </row>
    <row r="119" spans="1:10" ht="15.75" customHeight="1" x14ac:dyDescent="0.15">
      <c r="A119" s="5">
        <v>46065.231203703705</v>
      </c>
      <c r="B119" s="3" t="s">
        <v>39</v>
      </c>
      <c r="C119" s="3" t="s">
        <v>45</v>
      </c>
      <c r="D119" s="3" t="s">
        <v>40</v>
      </c>
      <c r="E119" s="3" t="s">
        <v>51</v>
      </c>
      <c r="F119" s="3" t="s">
        <v>302</v>
      </c>
      <c r="G119" s="3" t="s">
        <v>303</v>
      </c>
      <c r="H119" s="2">
        <v>9.72592127658E11</v>
      </c>
      <c r="I119" s="2">
        <v>5.65861773E8</v>
      </c>
      <c r="J119" s="4" t="s">
        <v>89</v>
      </c>
    </row>
    <row r="120" spans="1:10" ht="15.75" customHeight="1" x14ac:dyDescent="0.15">
      <c r="A120" s="5">
        <v>46065.29837962963</v>
      </c>
      <c r="B120" s="3" t="s">
        <v>39</v>
      </c>
      <c r="C120" s="3" t="s">
        <v>45</v>
      </c>
      <c r="D120" s="3" t="s">
        <v>40</v>
      </c>
      <c r="E120" s="3" t="s">
        <v>51</v>
      </c>
      <c r="F120" s="3" t="s">
        <v>304</v>
      </c>
      <c r="G120" s="3" t="s">
        <v>305</v>
      </c>
      <c r="H120" s="2">
        <v>9.71553502888E11</v>
      </c>
      <c r="I120" s="2">
        <v>0.0</v>
      </c>
      <c r="J120" s="4">
        <v>30.0</v>
      </c>
    </row>
    <row r="121" spans="1:10" ht="15.75" customHeight="1" x14ac:dyDescent="0.15">
      <c r="A121" s="5">
        <v>46065.37310185185</v>
      </c>
      <c r="B121" s="3" t="s">
        <v>39</v>
      </c>
      <c r="C121" s="3" t="s">
        <v>45</v>
      </c>
      <c r="D121" s="3" t="s">
        <v>46</v>
      </c>
      <c r="E121" s="3" t="s">
        <v>51</v>
      </c>
      <c r="F121" s="3" t="s">
        <v>306</v>
      </c>
      <c r="G121" s="3" t="s">
        <v>307</v>
      </c>
      <c r="H121" s="2">
        <v>9.71542423724E11</v>
      </c>
      <c r="I121" s="2">
        <v>5.65403071E8</v>
      </c>
      <c r="J121" s="4" t="s">
        <v>44</v>
      </c>
    </row>
    <row r="122" spans="1:10" ht="15.75" customHeight="1" x14ac:dyDescent="0.15">
      <c r="A122" s="5">
        <v>46065.40688657408</v>
      </c>
      <c r="B122" s="3" t="s">
        <v>39</v>
      </c>
      <c r="C122" s="3" t="s">
        <v>15</v>
      </c>
      <c r="D122" s="3" t="s">
        <v>50</v>
      </c>
      <c r="E122" s="3" t="s">
        <v>51</v>
      </c>
      <c r="F122" s="3" t="s">
        <v>255</v>
      </c>
      <c r="G122" s="3" t="s">
        <v>308</v>
      </c>
      <c r="H122" s="2">
        <v>9.71524738735E11</v>
      </c>
      <c r="I122" s="2">
        <v>9.71524738735E11</v>
      </c>
      <c r="J122" s="4" t="s">
        <v>100</v>
      </c>
    </row>
    <row r="123" spans="1:10" ht="15.75" customHeight="1" x14ac:dyDescent="0.15">
      <c r="A123" s="5">
        <v>46065.530590277776</v>
      </c>
      <c r="B123" s="3" t="s">
        <v>39</v>
      </c>
      <c r="C123" s="3" t="s">
        <v>45</v>
      </c>
      <c r="D123" s="3" t="s">
        <v>50</v>
      </c>
      <c r="E123" s="3" t="s">
        <v>51</v>
      </c>
      <c r="F123" s="3" t="s">
        <v>309</v>
      </c>
      <c r="G123" s="3" t="s">
        <v>310</v>
      </c>
      <c r="H123" s="2">
        <v>9.71509733336E11</v>
      </c>
      <c r="I123" s="2">
        <v>0.0</v>
      </c>
      <c r="J123" s="4" t="s">
        <v>44</v>
      </c>
    </row>
    <row r="124" spans="1:10" ht="15.75" customHeight="1" x14ac:dyDescent="0.15">
      <c r="A124" s="5">
        <v>46065.586435185185</v>
      </c>
      <c r="B124" s="3" t="s">
        <v>39</v>
      </c>
      <c r="C124" s="3" t="s">
        <v>45</v>
      </c>
      <c r="D124" s="3" t="s">
        <v>50</v>
      </c>
      <c r="E124" s="3" t="s">
        <v>51</v>
      </c>
      <c r="F124" s="3" t="s">
        <v>311</v>
      </c>
      <c r="G124" s="3" t="s">
        <v>312</v>
      </c>
      <c r="H124" s="2">
        <v>9.71545667043E11</v>
      </c>
      <c r="I124" s="2">
        <v>9.71545667043E11</v>
      </c>
      <c r="J124" s="4" t="s">
        <v>44</v>
      </c>
    </row>
    <row r="125" spans="1:10" ht="15.75" customHeight="1" x14ac:dyDescent="0.15">
      <c r="A125" s="5">
        <v>46065.68436342593</v>
      </c>
      <c r="B125" s="3" t="s">
        <v>39</v>
      </c>
      <c r="C125" s="3" t="s">
        <v>45</v>
      </c>
      <c r="D125" s="3" t="s">
        <v>50</v>
      </c>
      <c r="E125" s="3" t="s">
        <v>47</v>
      </c>
      <c r="F125" s="3" t="s">
        <v>313</v>
      </c>
      <c r="G125" s="3" t="s">
        <v>314</v>
      </c>
      <c r="H125" s="2">
        <v>5.63429253E8</v>
      </c>
      <c r="I125" s="2">
        <v>9.71563429253E11</v>
      </c>
      <c r="J125" s="4" t="s">
        <v>44</v>
      </c>
    </row>
    <row r="126" spans="1:10" ht="15.75" customHeight="1" x14ac:dyDescent="0.15">
      <c r="A126" s="5">
        <v>46065.72729166667</v>
      </c>
      <c r="B126" s="3" t="s">
        <v>39</v>
      </c>
      <c r="C126" s="3" t="s">
        <v>45</v>
      </c>
      <c r="D126" s="3" t="s">
        <v>40</v>
      </c>
      <c r="E126" s="3" t="s">
        <v>51</v>
      </c>
      <c r="F126" s="3" t="s">
        <v>315</v>
      </c>
      <c r="G126" s="3" t="s">
        <v>316</v>
      </c>
      <c r="H126" s="2">
        <v>9.7152867418E11</v>
      </c>
      <c r="I126" s="2">
        <v>5.2867418E8</v>
      </c>
      <c r="J126" s="4" t="s">
        <v>44</v>
      </c>
    </row>
    <row r="127" spans="1:10" ht="15.75" customHeight="1" x14ac:dyDescent="0.15">
      <c r="A127" s="5">
        <v>46065.8152662037</v>
      </c>
      <c r="B127" s="3" t="s">
        <v>39</v>
      </c>
      <c r="C127" s="3" t="s">
        <v>45</v>
      </c>
      <c r="D127" s="3" t="s">
        <v>50</v>
      </c>
      <c r="E127" s="3" t="s">
        <v>47</v>
      </c>
      <c r="F127" s="3" t="s">
        <v>317</v>
      </c>
      <c r="G127" s="3" t="s">
        <v>318</v>
      </c>
      <c r="H127" s="2">
        <v>9.71565821292E11</v>
      </c>
      <c r="I127" s="2">
        <v>9.71565821292E11</v>
      </c>
      <c r="J127" s="4" t="s">
        <v>44</v>
      </c>
    </row>
    <row r="128" spans="1:10" ht="15.75" customHeight="1" x14ac:dyDescent="0.15">
      <c r="A128" s="5">
        <v>46066.02408564815</v>
      </c>
      <c r="B128" s="3" t="s">
        <v>39</v>
      </c>
      <c r="C128" s="3" t="s">
        <v>45</v>
      </c>
      <c r="D128" s="3" t="s">
        <v>46</v>
      </c>
      <c r="E128" s="3" t="s">
        <v>51</v>
      </c>
      <c r="F128" s="3" t="s">
        <v>319</v>
      </c>
      <c r="G128" s="3" t="s">
        <v>320</v>
      </c>
      <c r="H128" s="2">
        <v>9.19871264377E11</v>
      </c>
      <c r="I128" s="2">
        <v>5.08581068E8</v>
      </c>
      <c r="J128" s="4" t="s">
        <v>89</v>
      </c>
    </row>
    <row r="129" spans="1:10" ht="15.75" customHeight="1" x14ac:dyDescent="0.15">
      <c r="A129" s="5">
        <v>46066.065104166664</v>
      </c>
      <c r="B129" s="3" t="s">
        <v>39</v>
      </c>
      <c r="C129" s="3" t="s">
        <v>45</v>
      </c>
      <c r="D129" s="3" t="s">
        <v>46</v>
      </c>
      <c r="E129" s="3" t="s">
        <v>47</v>
      </c>
      <c r="F129" s="3" t="s">
        <v>321</v>
      </c>
      <c r="G129" s="3" t="s">
        <v>322</v>
      </c>
      <c r="H129" s="2">
        <v>9.71556357504E11</v>
      </c>
      <c r="I129" s="2">
        <v>9.71556357504E11</v>
      </c>
      <c r="J129" s="4" t="s">
        <v>323</v>
      </c>
    </row>
    <row r="130" spans="1:10" ht="15.75" customHeight="1" x14ac:dyDescent="0.15">
      <c r="A130" s="5">
        <v>46066.61377314815</v>
      </c>
      <c r="B130" s="3" t="s">
        <v>39</v>
      </c>
      <c r="C130" s="3" t="s">
        <v>15</v>
      </c>
      <c r="D130" s="3" t="s">
        <v>40</v>
      </c>
      <c r="E130" s="3" t="s">
        <v>51</v>
      </c>
      <c r="F130" s="3" t="s">
        <v>324</v>
      </c>
      <c r="G130" s="3" t="s">
        <v>325</v>
      </c>
      <c r="H130" s="2">
        <v>9.71552371772E11</v>
      </c>
      <c r="I130" s="2">
        <v>9.71551049077E11</v>
      </c>
      <c r="J130" s="4" t="s">
        <v>44</v>
      </c>
    </row>
    <row r="131" spans="1:10" ht="15.75" customHeight="1" x14ac:dyDescent="0.15">
      <c r="A131" s="5">
        <v>46066.71702546296</v>
      </c>
      <c r="B131" s="3" t="s">
        <v>39</v>
      </c>
      <c r="C131" s="3" t="s">
        <v>45</v>
      </c>
      <c r="D131" s="3" t="s">
        <v>40</v>
      </c>
      <c r="E131" s="3" t="s">
        <v>51</v>
      </c>
      <c r="F131" s="3" t="s">
        <v>326</v>
      </c>
      <c r="G131" s="3" t="s">
        <v>327</v>
      </c>
      <c r="H131" s="2">
        <v>5.632070013E9</v>
      </c>
      <c r="I131" s="2">
        <v>5.63570013E8</v>
      </c>
      <c r="J131" s="4" t="s">
        <v>44</v>
      </c>
    </row>
    <row r="132" spans="1:10" ht="15.75" customHeight="1" x14ac:dyDescent="0.15">
      <c r="A132" s="5">
        <v>46066.82506944444</v>
      </c>
      <c r="B132" s="3" t="s">
        <v>39</v>
      </c>
      <c r="C132" s="3" t="s">
        <v>45</v>
      </c>
      <c r="D132" s="3" t="s">
        <v>50</v>
      </c>
      <c r="E132" s="3" t="s">
        <v>51</v>
      </c>
      <c r="F132" s="3" t="s">
        <v>328</v>
      </c>
      <c r="G132" s="3" t="s">
        <v>329</v>
      </c>
      <c r="H132" s="2">
        <v>9.7155256856E11</v>
      </c>
      <c r="I132" s="2">
        <v>9.7155256856E11</v>
      </c>
      <c r="J132" s="4" t="s">
        <v>89</v>
      </c>
    </row>
    <row r="133" spans="1:10" ht="15.75" customHeight="1" x14ac:dyDescent="0.15">
      <c r="A133" s="5">
        <v>46068.89324074074</v>
      </c>
      <c r="B133" s="3" t="s">
        <v>39</v>
      </c>
      <c r="C133" s="3" t="s">
        <v>15</v>
      </c>
      <c r="D133" s="3" t="s">
        <v>40</v>
      </c>
      <c r="E133" s="3" t="s">
        <v>51</v>
      </c>
      <c r="F133" s="3" t="s">
        <v>330</v>
      </c>
      <c r="G133" s="3" t="s">
        <v>331</v>
      </c>
      <c r="H133" s="2">
        <v>9.7152221366E11</v>
      </c>
      <c r="I133" s="2">
        <v>9.7152221366E11</v>
      </c>
      <c r="J133" s="4" t="s">
        <v>89</v>
      </c>
    </row>
    <row r="134" spans="1:10" ht="15.75" customHeight="1" x14ac:dyDescent="0.15">
      <c r="A134" s="5">
        <v>46075.95520833333</v>
      </c>
      <c r="B134" s="3" t="s">
        <v>39</v>
      </c>
      <c r="C134" s="3" t="s">
        <v>15</v>
      </c>
      <c r="D134" s="3" t="s">
        <v>46</v>
      </c>
      <c r="E134" s="3" t="s">
        <v>51</v>
      </c>
      <c r="F134" s="3" t="s">
        <v>332</v>
      </c>
      <c r="G134" s="3" t="s">
        <v>333</v>
      </c>
      <c r="H134" s="2">
        <v>9.7155331349E11</v>
      </c>
      <c r="I134" s="2">
        <v>9.7155331349E11</v>
      </c>
      <c r="J134" s="4" t="s">
        <v>44</v>
      </c>
    </row>
    <row r="135" spans="1:10" ht="15.75" customHeight="1" x14ac:dyDescent="0.15">
      <c r="A135" s="5">
        <v>46076.11962962963</v>
      </c>
      <c r="B135" s="3" t="s">
        <v>39</v>
      </c>
      <c r="C135" s="3" t="s">
        <v>45</v>
      </c>
      <c r="D135" s="3" t="s">
        <v>50</v>
      </c>
      <c r="E135" s="3" t="s">
        <v>51</v>
      </c>
      <c r="F135" s="3" t="s">
        <v>334</v>
      </c>
      <c r="G135" s="3" t="s">
        <v>335</v>
      </c>
      <c r="H135" s="2">
        <v>9.71506545528E11</v>
      </c>
      <c r="I135" s="2">
        <v>5.06545528E8</v>
      </c>
      <c r="J135" s="4" t="s">
        <v>336</v>
      </c>
    </row>
    <row r="136" spans="1:10" ht="15.75" customHeight="1" x14ac:dyDescent="0.15">
      <c r="A136" s="5">
        <v>46076.13195601852</v>
      </c>
      <c r="B136" s="3" t="s">
        <v>39</v>
      </c>
      <c r="C136" s="3" t="s">
        <v>45</v>
      </c>
      <c r="D136" s="3" t="s">
        <v>40</v>
      </c>
      <c r="E136" s="3" t="s">
        <v>51</v>
      </c>
      <c r="F136" s="3" t="s">
        <v>337</v>
      </c>
      <c r="G136" s="3" t="s">
        <v>338</v>
      </c>
      <c r="H136" s="2">
        <v>9.71507242444E11</v>
      </c>
      <c r="I136" s="2">
        <v>9.71507242444E11</v>
      </c>
      <c r="J136" s="4" t="s">
        <v>44</v>
      </c>
    </row>
    <row r="137" spans="1:10" ht="15.75" customHeight="1" x14ac:dyDescent="0.15">
      <c r="A137" s="5">
        <v>46076.13774305556</v>
      </c>
      <c r="B137" s="3" t="s">
        <v>39</v>
      </c>
      <c r="C137" s="3" t="s">
        <v>15</v>
      </c>
      <c r="D137" s="3" t="s">
        <v>40</v>
      </c>
      <c r="E137" s="3" t="s">
        <v>51</v>
      </c>
      <c r="F137" s="3" t="s">
        <v>339</v>
      </c>
      <c r="G137" s="3" t="s">
        <v>340</v>
      </c>
      <c r="H137" s="2">
        <v>9.71503545239E11</v>
      </c>
      <c r="I137" s="2">
        <v>9.71503545239E11</v>
      </c>
      <c r="J137" s="4" t="s">
        <v>44</v>
      </c>
    </row>
    <row r="138" spans="1:10" ht="15.75" customHeight="1" x14ac:dyDescent="0.15">
      <c r="A138" s="5">
        <v>46076.16291666667</v>
      </c>
      <c r="B138" s="3" t="s">
        <v>39</v>
      </c>
      <c r="C138" s="3" t="s">
        <v>45</v>
      </c>
      <c r="D138" s="3" t="s">
        <v>50</v>
      </c>
      <c r="E138" s="3" t="s">
        <v>47</v>
      </c>
      <c r="F138" s="3" t="s">
        <v>341</v>
      </c>
      <c r="G138" s="3" t="s">
        <v>342</v>
      </c>
      <c r="H138" s="2">
        <v>1.7372977646E10</v>
      </c>
      <c r="I138" s="2">
        <v>9.71558249347E11</v>
      </c>
      <c r="J138" s="4" t="s">
        <v>89</v>
      </c>
    </row>
    <row r="139" spans="1:10" ht="15.75" customHeight="1" x14ac:dyDescent="0.15">
      <c r="A139" s="5">
        <v>46076.393645833334</v>
      </c>
      <c r="B139" s="3" t="s">
        <v>39</v>
      </c>
      <c r="C139" s="3" t="s">
        <v>45</v>
      </c>
      <c r="D139" s="3" t="s">
        <v>40</v>
      </c>
      <c r="E139" s="3" t="s">
        <v>51</v>
      </c>
      <c r="F139" s="3" t="s">
        <v>343</v>
      </c>
      <c r="G139" s="3" t="s">
        <v>344</v>
      </c>
      <c r="H139" s="2">
        <v>9.71564919145E11</v>
      </c>
      <c r="I139" s="2">
        <v>9.71525620277E11</v>
      </c>
      <c r="J139" s="4" t="s">
        <v>89</v>
      </c>
    </row>
    <row r="140" spans="1:10" ht="15.75" customHeight="1" x14ac:dyDescent="0.15">
      <c r="A140" s="5">
        <v>46076.393958333334</v>
      </c>
      <c r="B140" s="3" t="s">
        <v>39</v>
      </c>
      <c r="C140" s="3" t="s">
        <v>45</v>
      </c>
      <c r="D140" s="3" t="s">
        <v>40</v>
      </c>
      <c r="E140" s="3" t="s">
        <v>51</v>
      </c>
      <c r="F140" s="3" t="s">
        <v>345</v>
      </c>
      <c r="G140" s="3" t="s">
        <v>346</v>
      </c>
      <c r="H140" s="2">
        <v>9.7155830813E11</v>
      </c>
      <c r="I140" s="2">
        <v>9.7155830813E11</v>
      </c>
      <c r="J140" s="4" t="s">
        <v>44</v>
      </c>
    </row>
    <row r="141" spans="1:10" ht="15.75" customHeight="1" x14ac:dyDescent="0.15">
      <c r="A141" s="5">
        <v>46076.44844907407</v>
      </c>
      <c r="B141" s="3" t="s">
        <v>39</v>
      </c>
      <c r="C141" s="3" t="s">
        <v>45</v>
      </c>
      <c r="D141" s="3" t="s">
        <v>50</v>
      </c>
      <c r="E141" s="3" t="s">
        <v>51</v>
      </c>
      <c r="F141" s="3" t="s">
        <v>347</v>
      </c>
      <c r="G141" s="3" t="s">
        <v>348</v>
      </c>
      <c r="H141" s="2">
        <v>9.7156884646E11</v>
      </c>
      <c r="I141" s="2">
        <v>9.7156884646E11</v>
      </c>
      <c r="J141" s="4" t="s">
        <v>44</v>
      </c>
    </row>
    <row r="142" spans="1:10" ht="15.75" customHeight="1" x14ac:dyDescent="0.15">
      <c r="A142" s="5">
        <v>46076.47790509259</v>
      </c>
      <c r="B142" s="3" t="s">
        <v>39</v>
      </c>
      <c r="C142" s="3" t="s">
        <v>45</v>
      </c>
      <c r="D142" s="3" t="s">
        <v>50</v>
      </c>
      <c r="E142" s="3" t="s">
        <v>51</v>
      </c>
      <c r="F142" s="3" t="s">
        <v>349</v>
      </c>
      <c r="G142" s="3" t="s">
        <v>350</v>
      </c>
      <c r="H142" s="2">
        <v>9.71562665353E11</v>
      </c>
      <c r="I142" s="2">
        <v>9.71562665353E11</v>
      </c>
      <c r="J142" s="4" t="s">
        <v>44</v>
      </c>
    </row>
    <row r="143" spans="1:10" ht="15.75" customHeight="1" x14ac:dyDescent="0.15">
      <c r="A143" s="5">
        <v>46076.47829861111</v>
      </c>
      <c r="B143" s="3" t="s">
        <v>39</v>
      </c>
      <c r="C143" s="3" t="s">
        <v>45</v>
      </c>
      <c r="D143" s="3" t="s">
        <v>50</v>
      </c>
      <c r="E143" s="3" t="s">
        <v>51</v>
      </c>
      <c r="F143" s="3" t="s">
        <v>351</v>
      </c>
      <c r="G143" s="3" t="s">
        <v>352</v>
      </c>
      <c r="H143" s="2">
        <v>9.71543676764E11</v>
      </c>
      <c r="I143" s="2">
        <v>9.19746466704E11</v>
      </c>
      <c r="J143" s="4" t="s">
        <v>54</v>
      </c>
    </row>
    <row r="144" spans="1:10" ht="15.75" customHeight="1" x14ac:dyDescent="0.15">
      <c r="A144" s="5">
        <v>46076.50883101852</v>
      </c>
      <c r="B144" s="3" t="s">
        <v>39</v>
      </c>
      <c r="C144" s="3" t="s">
        <v>45</v>
      </c>
      <c r="D144" s="3" t="s">
        <v>50</v>
      </c>
      <c r="E144" s="3" t="s">
        <v>51</v>
      </c>
      <c r="F144" s="3" t="s">
        <v>353</v>
      </c>
      <c r="G144" s="3" t="s">
        <v>354</v>
      </c>
      <c r="H144" s="2">
        <v>9.71501974591E11</v>
      </c>
      <c r="I144" s="2">
        <v>9.71501974591E11</v>
      </c>
      <c r="J144" s="4" t="s">
        <v>44</v>
      </c>
    </row>
    <row r="145" spans="1:10" ht="15.75" customHeight="1" x14ac:dyDescent="0.15">
      <c r="A145" s="5">
        <v>46076.52814814815</v>
      </c>
      <c r="B145" s="3" t="s">
        <v>39</v>
      </c>
      <c r="C145" s="3" t="s">
        <v>45</v>
      </c>
      <c r="D145" s="3" t="s">
        <v>46</v>
      </c>
      <c r="E145" s="3" t="s">
        <v>47</v>
      </c>
      <c r="F145" s="3" t="s">
        <v>355</v>
      </c>
      <c r="G145" s="3" t="s">
        <v>356</v>
      </c>
      <c r="H145" s="2">
        <v>3.8163224225E10</v>
      </c>
      <c r="I145" s="2">
        <v>5.05104456E8</v>
      </c>
      <c r="J145" s="4" t="s">
        <v>44</v>
      </c>
    </row>
    <row r="146" spans="1:10" ht="15.75" customHeight="1" x14ac:dyDescent="0.15">
      <c r="A146" s="5">
        <v>46076.55165509259</v>
      </c>
      <c r="B146" s="3" t="s">
        <v>39</v>
      </c>
      <c r="C146" s="3" t="s">
        <v>15</v>
      </c>
      <c r="D146" s="3" t="s">
        <v>50</v>
      </c>
      <c r="E146" s="3" t="s">
        <v>51</v>
      </c>
      <c r="F146" s="3" t="s">
        <v>357</v>
      </c>
      <c r="G146" s="3" t="s">
        <v>358</v>
      </c>
      <c r="H146" s="2">
        <v>9.71525204852E11</v>
      </c>
      <c r="I146" s="2">
        <v>9.71525204852E11</v>
      </c>
      <c r="J146" s="4" t="s">
        <v>44</v>
      </c>
    </row>
    <row r="147" spans="1:10" ht="15.75" customHeight="1" x14ac:dyDescent="0.15">
      <c r="A147" s="5">
        <v>46076.6493287037</v>
      </c>
      <c r="B147" s="3" t="s">
        <v>39</v>
      </c>
      <c r="C147" s="3" t="s">
        <v>45</v>
      </c>
      <c r="D147" s="3" t="s">
        <v>50</v>
      </c>
      <c r="E147" s="3" t="s">
        <v>47</v>
      </c>
      <c r="F147" s="3" t="s">
        <v>359</v>
      </c>
      <c r="G147" s="3" t="s">
        <v>360</v>
      </c>
      <c r="H147" s="2">
        <v>9.71566867776E11</v>
      </c>
      <c r="I147" s="2">
        <v>9.71566867776E11</v>
      </c>
      <c r="J147" s="4" t="s">
        <v>57</v>
      </c>
    </row>
    <row r="148" spans="1:10" ht="15.75" customHeight="1" x14ac:dyDescent="0.15">
      <c r="A148" s="5">
        <v>46076.683599537035</v>
      </c>
      <c r="B148" s="3" t="s">
        <v>39</v>
      </c>
      <c r="C148" s="3" t="s">
        <v>45</v>
      </c>
      <c r="D148" s="3" t="s">
        <v>46</v>
      </c>
      <c r="E148" s="3" t="s">
        <v>51</v>
      </c>
      <c r="F148" s="3" t="s">
        <v>361</v>
      </c>
      <c r="G148" s="3" t="s">
        <v>362</v>
      </c>
      <c r="H148" s="2">
        <v>9.71556858477E11</v>
      </c>
      <c r="I148" s="2">
        <v>5.01295547E8</v>
      </c>
      <c r="J148" s="4" t="s">
        <v>44</v>
      </c>
    </row>
    <row r="149" spans="1:10" ht="15.75" customHeight="1" x14ac:dyDescent="0.15">
      <c r="A149" s="5">
        <v>46076.74565972222</v>
      </c>
      <c r="B149" s="3" t="s">
        <v>39</v>
      </c>
      <c r="C149" s="3" t="s">
        <v>45</v>
      </c>
      <c r="D149" s="3" t="s">
        <v>46</v>
      </c>
      <c r="E149" s="3" t="s">
        <v>41</v>
      </c>
      <c r="F149" s="3" t="s">
        <v>363</v>
      </c>
      <c r="G149" s="3" t="s">
        <v>364</v>
      </c>
      <c r="H149" s="2">
        <v>9.71523250557E11</v>
      </c>
      <c r="I149" s="2">
        <v>5.23250557E8</v>
      </c>
      <c r="J149" s="4" t="s">
        <v>44</v>
      </c>
    </row>
    <row r="150" spans="1:10" ht="15.75" customHeight="1" x14ac:dyDescent="0.15">
      <c r="A150" s="5">
        <v>46078.375706018516</v>
      </c>
      <c r="B150" s="3" t="s">
        <v>39</v>
      </c>
      <c r="C150" s="3" t="s">
        <v>45</v>
      </c>
      <c r="D150" s="3" t="s">
        <v>50</v>
      </c>
      <c r="E150" s="3" t="s">
        <v>41</v>
      </c>
      <c r="F150" s="3" t="s">
        <v>365</v>
      </c>
      <c r="G150" s="3" t="s">
        <v>366</v>
      </c>
      <c r="H150" s="2">
        <v>9.7155553798E11</v>
      </c>
      <c r="I150" s="2">
        <v>0.0</v>
      </c>
      <c r="J150" s="4" t="s">
        <v>44</v>
      </c>
    </row>
    <row r="151" spans="1:10" ht="15.75" customHeight="1" x14ac:dyDescent="0.15">
      <c r="A151" s="5">
        <v>46078.383680555555</v>
      </c>
      <c r="B151" s="3" t="s">
        <v>39</v>
      </c>
      <c r="C151" s="3" t="s">
        <v>45</v>
      </c>
      <c r="D151" s="3" t="s">
        <v>50</v>
      </c>
      <c r="E151" s="3" t="s">
        <v>51</v>
      </c>
      <c r="F151" s="3" t="s">
        <v>367</v>
      </c>
      <c r="G151" s="3" t="s">
        <v>368</v>
      </c>
      <c r="H151" s="2">
        <v>9.71522092652E11</v>
      </c>
      <c r="I151" s="2">
        <v>5.22092652E8</v>
      </c>
      <c r="J151" s="4" t="s">
        <v>44</v>
      </c>
    </row>
    <row r="152" spans="1:10" ht="15.75" customHeight="1" x14ac:dyDescent="0.15">
      <c r="A152" s="5">
        <v>46078.387511574074</v>
      </c>
      <c r="B152" s="3" t="s">
        <v>39</v>
      </c>
      <c r="C152" s="3" t="s">
        <v>45</v>
      </c>
      <c r="D152" s="3" t="s">
        <v>50</v>
      </c>
      <c r="E152" s="3" t="s">
        <v>51</v>
      </c>
      <c r="F152" s="3" t="s">
        <v>369</v>
      </c>
      <c r="G152" s="3" t="s">
        <v>370</v>
      </c>
      <c r="H152" s="2">
        <v>9.71505805343E11</v>
      </c>
      <c r="I152" s="2">
        <v>9.71505805343E11</v>
      </c>
      <c r="J152" s="4" t="s">
        <v>371</v>
      </c>
    </row>
    <row r="153" spans="1:10" ht="15.75" customHeight="1" x14ac:dyDescent="0.15">
      <c r="A153" s="5">
        <v>46078.463784722226</v>
      </c>
      <c r="B153" s="3" t="s">
        <v>39</v>
      </c>
      <c r="C153" s="3" t="s">
        <v>45</v>
      </c>
      <c r="D153" s="3" t="s">
        <v>50</v>
      </c>
      <c r="E153" s="3" t="s">
        <v>51</v>
      </c>
      <c r="F153" s="3" t="s">
        <v>372</v>
      </c>
      <c r="G153" s="3" t="s">
        <v>373</v>
      </c>
      <c r="H153" s="2">
        <v>9.71562980588E11</v>
      </c>
      <c r="I153" s="2">
        <v>5.62980588E8</v>
      </c>
      <c r="J153" s="4" t="s">
        <v>44</v>
      </c>
    </row>
    <row r="154" spans="1:10" ht="15.75" customHeight="1" x14ac:dyDescent="0.15">
      <c r="A154" s="5">
        <v>46078.65064814815</v>
      </c>
      <c r="B154" s="3" t="s">
        <v>39</v>
      </c>
      <c r="C154" s="3" t="s">
        <v>45</v>
      </c>
      <c r="D154" s="3" t="s">
        <v>50</v>
      </c>
      <c r="E154" s="3" t="s">
        <v>51</v>
      </c>
      <c r="F154" s="3" t="s">
        <v>374</v>
      </c>
      <c r="G154" s="3" t="s">
        <v>375</v>
      </c>
      <c r="H154" s="2">
        <v>9.71566788095E11</v>
      </c>
      <c r="I154" s="2">
        <v>5.44953387E8</v>
      </c>
      <c r="J154" s="4" t="s">
        <v>44</v>
      </c>
    </row>
    <row r="155" spans="1:10" ht="15.75" customHeight="1" x14ac:dyDescent="0.15">
      <c r="A155" s="5">
        <v>46078.672685185185</v>
      </c>
      <c r="B155" s="3" t="s">
        <v>39</v>
      </c>
      <c r="C155" s="3" t="s">
        <v>45</v>
      </c>
      <c r="D155" s="3" t="s">
        <v>50</v>
      </c>
      <c r="E155" s="3" t="s">
        <v>51</v>
      </c>
      <c r="F155" s="3" t="s">
        <v>376</v>
      </c>
      <c r="G155" s="3" t="s">
        <v>377</v>
      </c>
      <c r="H155" s="2">
        <v>5.85291285E8</v>
      </c>
      <c r="I155" s="2">
        <v>5.85291285E8</v>
      </c>
      <c r="J155" s="4" t="s">
        <v>44</v>
      </c>
    </row>
    <row r="156" spans="1:10" ht="15.75" customHeight="1" x14ac:dyDescent="0.15">
      <c r="A156" s="5">
        <v>46078.71056712963</v>
      </c>
      <c r="B156" s="3" t="s">
        <v>39</v>
      </c>
      <c r="C156" s="3" t="s">
        <v>45</v>
      </c>
      <c r="D156" s="3" t="s">
        <v>50</v>
      </c>
      <c r="E156" s="3" t="s">
        <v>51</v>
      </c>
      <c r="F156" s="3" t="s">
        <v>378</v>
      </c>
      <c r="G156" s="3" t="s">
        <v>379</v>
      </c>
      <c r="H156" s="2">
        <v>5.45431878E8</v>
      </c>
      <c r="I156" s="2">
        <v>9.71545431878E11</v>
      </c>
      <c r="J156" s="4" t="s">
        <v>44</v>
      </c>
    </row>
    <row r="157" spans="1:10" ht="15.75" customHeight="1" x14ac:dyDescent="0.15">
      <c r="A157" s="5">
        <v>46078.72315972222</v>
      </c>
      <c r="B157" s="3" t="s">
        <v>39</v>
      </c>
      <c r="C157" s="3" t="s">
        <v>45</v>
      </c>
      <c r="D157" s="3" t="s">
        <v>50</v>
      </c>
      <c r="E157" s="3" t="s">
        <v>51</v>
      </c>
      <c r="F157" s="3" t="s">
        <v>380</v>
      </c>
      <c r="G157" s="3" t="s">
        <v>381</v>
      </c>
      <c r="H157" s="2">
        <v>3.3687452676E10</v>
      </c>
      <c r="I157" s="2">
        <v>3.3687452676E10</v>
      </c>
      <c r="J157" s="4" t="s">
        <v>44</v>
      </c>
    </row>
    <row r="158" spans="1:10" ht="15.75" customHeight="1" x14ac:dyDescent="0.15">
      <c r="A158" s="5">
        <v>46078.78159722222</v>
      </c>
      <c r="B158" s="3" t="s">
        <v>39</v>
      </c>
      <c r="C158" s="3" t="s">
        <v>45</v>
      </c>
      <c r="D158" s="3" t="s">
        <v>40</v>
      </c>
      <c r="E158" s="3" t="s">
        <v>47</v>
      </c>
      <c r="F158" s="3" t="s">
        <v>382</v>
      </c>
      <c r="G158" s="3" t="s">
        <v>383</v>
      </c>
      <c r="H158" s="2">
        <v>9.7152596744E11</v>
      </c>
      <c r="I158" s="2">
        <v>9.71542249275E11</v>
      </c>
      <c r="J158" s="4" t="s">
        <v>44</v>
      </c>
    </row>
    <row r="159" spans="1:10" ht="15.75" customHeight="1" x14ac:dyDescent="0.15">
      <c r="A159" s="5">
        <v>46078.80552083333</v>
      </c>
      <c r="B159" s="3" t="s">
        <v>39</v>
      </c>
      <c r="C159" s="3" t="s">
        <v>45</v>
      </c>
      <c r="D159" s="3" t="s">
        <v>50</v>
      </c>
      <c r="E159" s="3" t="s">
        <v>47</v>
      </c>
      <c r="F159" s="3" t="s">
        <v>384</v>
      </c>
      <c r="G159" s="3" t="s">
        <v>385</v>
      </c>
      <c r="H159" s="2">
        <v>9.71551126467E11</v>
      </c>
      <c r="I159" s="2">
        <v>5.51126467E8</v>
      </c>
      <c r="J159" s="4" t="s">
        <v>44</v>
      </c>
    </row>
    <row r="160" spans="1:10" ht="15.75" customHeight="1" x14ac:dyDescent="0.15">
      <c r="A160" s="5">
        <v>46078.86420138889</v>
      </c>
      <c r="B160" s="3" t="s">
        <v>39</v>
      </c>
      <c r="C160" s="3" t="s">
        <v>45</v>
      </c>
      <c r="D160" s="3" t="s">
        <v>50</v>
      </c>
      <c r="E160" s="3" t="s">
        <v>51</v>
      </c>
      <c r="F160" s="3" t="s">
        <v>386</v>
      </c>
      <c r="G160" s="3" t="s">
        <v>387</v>
      </c>
      <c r="H160" s="2">
        <v>5.85778695E8</v>
      </c>
      <c r="I160" s="2">
        <v>5.85778695E8</v>
      </c>
      <c r="J160" s="4" t="s">
        <v>54</v>
      </c>
    </row>
    <row r="161" spans="1:10" ht="15.75" customHeight="1" x14ac:dyDescent="0.15">
      <c r="A161" s="5">
        <v>46078.87400462963</v>
      </c>
      <c r="B161" s="3" t="s">
        <v>39</v>
      </c>
      <c r="C161" s="3" t="s">
        <v>45</v>
      </c>
      <c r="D161" s="3" t="s">
        <v>50</v>
      </c>
      <c r="E161" s="3" t="s">
        <v>51</v>
      </c>
      <c r="F161" s="3" t="s">
        <v>388</v>
      </c>
      <c r="G161" s="3" t="s">
        <v>389</v>
      </c>
      <c r="H161" s="2">
        <v>9.7155699062E11</v>
      </c>
      <c r="I161" s="2">
        <v>9.9365270045E10</v>
      </c>
      <c r="J161" s="4" t="s">
        <v>44</v>
      </c>
    </row>
    <row r="162" spans="1:10" ht="15.75" customHeight="1" x14ac:dyDescent="0.15">
      <c r="A162" s="5">
        <v>46078.896527777775</v>
      </c>
      <c r="B162" s="3" t="s">
        <v>39</v>
      </c>
      <c r="C162" s="3" t="s">
        <v>45</v>
      </c>
      <c r="D162" s="3" t="s">
        <v>50</v>
      </c>
      <c r="E162" s="3" t="s">
        <v>47</v>
      </c>
      <c r="F162" s="3" t="s">
        <v>390</v>
      </c>
      <c r="G162" s="3" t="s">
        <v>391</v>
      </c>
      <c r="H162" s="2">
        <v>9.71556718616E11</v>
      </c>
      <c r="I162" s="2">
        <v>9.71556718616E11</v>
      </c>
      <c r="J162" s="4" t="s">
        <v>44</v>
      </c>
    </row>
    <row r="163" spans="1:10" ht="15.75" customHeight="1" x14ac:dyDescent="0.15">
      <c r="A163" s="5">
        <v>46078.93702546296</v>
      </c>
      <c r="B163" s="3" t="s">
        <v>39</v>
      </c>
      <c r="C163" s="3" t="s">
        <v>45</v>
      </c>
      <c r="D163" s="3" t="s">
        <v>50</v>
      </c>
      <c r="E163" s="3" t="s">
        <v>51</v>
      </c>
      <c r="F163" s="3" t="s">
        <v>392</v>
      </c>
      <c r="G163" s="3" t="s">
        <v>393</v>
      </c>
      <c r="H163" s="2">
        <v>9.71566622E11</v>
      </c>
      <c r="I163" s="2">
        <v>5.66622E8</v>
      </c>
      <c r="J163" s="4" t="s">
        <v>44</v>
      </c>
    </row>
    <row r="164" spans="1:10" ht="15.75" customHeight="1" x14ac:dyDescent="0.15">
      <c r="A164" s="5">
        <v>46078.94337962963</v>
      </c>
      <c r="B164" s="3" t="s">
        <v>39</v>
      </c>
      <c r="C164" s="3" t="s">
        <v>45</v>
      </c>
      <c r="D164" s="3" t="s">
        <v>40</v>
      </c>
      <c r="E164" s="3" t="s">
        <v>41</v>
      </c>
      <c r="F164" s="3" t="s">
        <v>394</v>
      </c>
      <c r="G164" s="3" t="s">
        <v>395</v>
      </c>
      <c r="H164" s="2">
        <v>9.71501234567E11</v>
      </c>
      <c r="I164" s="2">
        <v>9.71506276654E11</v>
      </c>
      <c r="J164" s="4" t="s">
        <v>44</v>
      </c>
    </row>
    <row r="165" spans="1:10" ht="15.75" customHeight="1" x14ac:dyDescent="0.15">
      <c r="A165" s="5">
        <v>46079.093773148146</v>
      </c>
      <c r="B165" s="3" t="s">
        <v>39</v>
      </c>
      <c r="C165" s="3" t="s">
        <v>45</v>
      </c>
      <c r="D165" s="3" t="s">
        <v>46</v>
      </c>
      <c r="E165" s="3" t="s">
        <v>51</v>
      </c>
      <c r="F165" s="3" t="s">
        <v>396</v>
      </c>
      <c r="G165" s="3" t="s">
        <v>397</v>
      </c>
      <c r="H165" s="2">
        <v>9.71542319474E11</v>
      </c>
      <c r="I165" s="2">
        <v>52.0</v>
      </c>
      <c r="J165" s="4" t="s">
        <v>44</v>
      </c>
    </row>
    <row r="166" spans="1:10" ht="15.75" customHeight="1" x14ac:dyDescent="0.15">
      <c r="A166" s="5">
        <v>46079.22796296296</v>
      </c>
      <c r="B166" s="3" t="s">
        <v>39</v>
      </c>
      <c r="C166" s="3" t="s">
        <v>45</v>
      </c>
      <c r="D166" s="3" t="s">
        <v>46</v>
      </c>
      <c r="E166" s="3" t="s">
        <v>51</v>
      </c>
      <c r="F166" s="3" t="s">
        <v>398</v>
      </c>
      <c r="G166" s="3" t="s">
        <v>399</v>
      </c>
      <c r="H166" s="2">
        <v>9.71521439644E11</v>
      </c>
      <c r="I166" s="2">
        <v>9.71521605217E11</v>
      </c>
      <c r="J166" s="4" t="s">
        <v>89</v>
      </c>
    </row>
    <row r="167" spans="1:10" ht="15.75" customHeight="1" x14ac:dyDescent="0.15">
      <c r="A167" s="5">
        <v>46079.23703703703</v>
      </c>
      <c r="B167" s="3" t="s">
        <v>39</v>
      </c>
      <c r="C167" s="3" t="s">
        <v>45</v>
      </c>
      <c r="D167" s="3" t="s">
        <v>50</v>
      </c>
      <c r="E167" s="3" t="s">
        <v>51</v>
      </c>
      <c r="F167" s="3" t="s">
        <v>400</v>
      </c>
      <c r="G167" s="3" t="s">
        <v>401</v>
      </c>
      <c r="H167" s="2">
        <v>9.71555612725E11</v>
      </c>
      <c r="I167" s="2">
        <v>5.8921104E8</v>
      </c>
      <c r="J167" s="4" t="s">
        <v>54</v>
      </c>
    </row>
    <row r="168" spans="1:10" ht="15.75" customHeight="1" x14ac:dyDescent="0.15">
      <c r="A168" s="5">
        <v>46079.3815625</v>
      </c>
      <c r="B168" s="3" t="s">
        <v>39</v>
      </c>
      <c r="C168" s="3" t="s">
        <v>45</v>
      </c>
      <c r="D168" s="3" t="s">
        <v>50</v>
      </c>
      <c r="E168" s="3" t="s">
        <v>51</v>
      </c>
      <c r="F168" s="3" t="s">
        <v>402</v>
      </c>
      <c r="G168" s="3" t="s">
        <v>403</v>
      </c>
      <c r="H168" s="2">
        <v>3.4600718901E10</v>
      </c>
      <c r="I168" s="2">
        <v>3.4600718901E10</v>
      </c>
      <c r="J168" s="4" t="s">
        <v>404</v>
      </c>
    </row>
    <row r="169" spans="1:10" ht="15.75" customHeight="1" x14ac:dyDescent="0.15">
      <c r="A169" s="5">
        <v>46079.400416666664</v>
      </c>
      <c r="B169" s="3" t="s">
        <v>39</v>
      </c>
      <c r="C169" s="3" t="s">
        <v>45</v>
      </c>
      <c r="D169" s="3" t="s">
        <v>40</v>
      </c>
      <c r="E169" s="3" t="s">
        <v>51</v>
      </c>
      <c r="F169" s="3" t="s">
        <v>405</v>
      </c>
      <c r="G169" s="3" t="s">
        <v>406</v>
      </c>
      <c r="H169" s="2">
        <v>9.71585867669E11</v>
      </c>
      <c r="I169" s="2">
        <v>5.85868669E8</v>
      </c>
      <c r="J169" s="4" t="s">
        <v>89</v>
      </c>
    </row>
    <row r="170" spans="1:10" ht="15.75" customHeight="1" x14ac:dyDescent="0.15">
      <c r="A170" s="5">
        <v>46079.508726851855</v>
      </c>
      <c r="B170" s="3" t="s">
        <v>39</v>
      </c>
      <c r="C170" s="3" t="s">
        <v>45</v>
      </c>
      <c r="D170" s="3" t="s">
        <v>50</v>
      </c>
      <c r="E170" s="3" t="s">
        <v>47</v>
      </c>
      <c r="F170" s="3" t="s">
        <v>407</v>
      </c>
      <c r="G170" s="3" t="s">
        <v>408</v>
      </c>
      <c r="H170" s="2">
        <v>9.71554946058E11</v>
      </c>
      <c r="I170" s="2">
        <v>9.71554916858E11</v>
      </c>
      <c r="J170" s="4" t="s">
        <v>409</v>
      </c>
    </row>
    <row r="171" spans="1:10" ht="15.75" customHeight="1" x14ac:dyDescent="0.15">
      <c r="A171" s="5">
        <v>46079.61649305555</v>
      </c>
      <c r="B171" s="3" t="s">
        <v>39</v>
      </c>
      <c r="C171" s="3" t="s">
        <v>45</v>
      </c>
      <c r="D171" s="3" t="s">
        <v>50</v>
      </c>
      <c r="E171" s="3" t="s">
        <v>51</v>
      </c>
      <c r="F171" s="3" t="s">
        <v>410</v>
      </c>
      <c r="G171" s="3" t="s">
        <v>411</v>
      </c>
      <c r="H171" s="2">
        <v>4.4786122769E11</v>
      </c>
      <c r="I171" s="2">
        <v>9.76504263996E11</v>
      </c>
      <c r="J171" s="4" t="s">
        <v>44</v>
      </c>
    </row>
    <row r="172" spans="1:10" ht="15.75" customHeight="1" x14ac:dyDescent="0.15">
      <c r="A172" s="5">
        <v>46079.702627314815</v>
      </c>
      <c r="B172" s="3" t="s">
        <v>39</v>
      </c>
      <c r="C172" s="3" t="s">
        <v>15</v>
      </c>
      <c r="D172" s="3" t="s">
        <v>46</v>
      </c>
      <c r="E172" s="3" t="s">
        <v>47</v>
      </c>
      <c r="F172" s="3" t="s">
        <v>412</v>
      </c>
      <c r="G172" s="3" t="s">
        <v>413</v>
      </c>
      <c r="H172" s="2">
        <v>1.6047244122E10</v>
      </c>
      <c r="I172" s="2">
        <v>1.6047244122E10</v>
      </c>
      <c r="J172" s="4" t="s">
        <v>414</v>
      </c>
    </row>
    <row r="173" spans="1:10" ht="15.75" customHeight="1" x14ac:dyDescent="0.15">
      <c r="A173" s="5">
        <v>46079.834548611114</v>
      </c>
      <c r="B173" s="3" t="s">
        <v>39</v>
      </c>
      <c r="C173" s="3" t="s">
        <v>45</v>
      </c>
      <c r="D173" s="3" t="s">
        <v>46</v>
      </c>
      <c r="E173" s="3" t="s">
        <v>47</v>
      </c>
      <c r="F173" s="3" t="s">
        <v>415</v>
      </c>
      <c r="G173" s="3" t="s">
        <v>416</v>
      </c>
      <c r="H173" s="2">
        <v>9.71547988629E11</v>
      </c>
      <c r="I173" s="2">
        <v>5.47989629E8</v>
      </c>
      <c r="J173" s="4" t="s">
        <v>44</v>
      </c>
    </row>
    <row r="174" spans="1:1" ht="15.75" customHeight="1" x14ac:dyDescent="0.15"/>
    <row r="175" spans="1:1" ht="15.75" customHeight="1" x14ac:dyDescent="0.15"/>
    <row r="176" spans="1:1" ht="15.75" customHeight="1" x14ac:dyDescent="0.15"/>
    <row r="177" spans="1:1" ht="15.75" customHeight="1" x14ac:dyDescent="0.15"/>
    <row r="178" spans="1:1" ht="15.75" customHeight="1" x14ac:dyDescent="0.15"/>
    <row r="179" spans="1:1" ht="15.75" customHeight="1" x14ac:dyDescent="0.15"/>
    <row r="180" spans="1:1" ht="15.75" customHeight="1" x14ac:dyDescent="0.15"/>
    <row r="181" spans="1:1" ht="15.75" customHeight="1" x14ac:dyDescent="0.15"/>
    <row r="182" spans="1:1" ht="15.75" customHeight="1" x14ac:dyDescent="0.15"/>
    <row r="183" spans="1:1" ht="15.75" customHeight="1" x14ac:dyDescent="0.15"/>
    <row r="184" spans="1:1" ht="15.75" customHeight="1" x14ac:dyDescent="0.15"/>
    <row r="185" spans="1:1" ht="15.75" customHeight="1" x14ac:dyDescent="0.15"/>
    <row r="186" spans="1:1" ht="15.75" customHeight="1" x14ac:dyDescent="0.15"/>
    <row r="187" spans="1:1" ht="15.75" customHeight="1" x14ac:dyDescent="0.15"/>
    <row r="188" spans="1:1" ht="15.75" customHeight="1" x14ac:dyDescent="0.15"/>
    <row r="189" spans="1:1" ht="15.75" customHeight="1" x14ac:dyDescent="0.15"/>
    <row r="190" spans="1:1" ht="15.75" customHeight="1" x14ac:dyDescent="0.15"/>
    <row r="191" spans="1:1" ht="15.75" customHeight="1" x14ac:dyDescent="0.15"/>
    <row r="192" spans="1:1" ht="15.75" customHeight="1" x14ac:dyDescent="0.15"/>
    <row r="193" spans="1:1" ht="15.75" customHeight="1" x14ac:dyDescent="0.15"/>
    <row r="194" spans="1:1" ht="15.75" customHeight="1" x14ac:dyDescent="0.15"/>
    <row r="195" spans="1:1" ht="15.75" customHeight="1" x14ac:dyDescent="0.15"/>
    <row r="196" spans="1:1" ht="15.75" customHeight="1" x14ac:dyDescent="0.15"/>
    <row r="197" spans="1:1" ht="15.75" customHeight="1" x14ac:dyDescent="0.15"/>
    <row r="198" spans="1:1" ht="15.75" customHeight="1" x14ac:dyDescent="0.15"/>
    <row r="199" spans="1:1" ht="15.75" customHeight="1" x14ac:dyDescent="0.15"/>
    <row r="200" spans="1:1" ht="15.75" customHeight="1" x14ac:dyDescent="0.15"/>
    <row r="201" spans="1:1" ht="15.75" customHeight="1" x14ac:dyDescent="0.15"/>
    <row r="202" spans="1:1" ht="15.75" customHeight="1" x14ac:dyDescent="0.15"/>
    <row r="203" spans="1:1" ht="15.75" customHeight="1" x14ac:dyDescent="0.15"/>
    <row r="204" spans="1:1" ht="15.75" customHeight="1" x14ac:dyDescent="0.15"/>
    <row r="205" spans="1:1" ht="15.75" customHeight="1" x14ac:dyDescent="0.15"/>
    <row r="206" spans="1:1" ht="15.75" customHeight="1" x14ac:dyDescent="0.15"/>
    <row r="207" spans="1:1" ht="15.75" customHeight="1" x14ac:dyDescent="0.15"/>
    <row r="208" spans="1:1" ht="15.75" customHeight="1" x14ac:dyDescent="0.15"/>
    <row r="209" spans="1:1" ht="15.75" customHeight="1" x14ac:dyDescent="0.15"/>
    <row r="210" spans="1:1" ht="15.75" customHeight="1" x14ac:dyDescent="0.15"/>
    <row r="211" spans="1:1" ht="15.75" customHeight="1" x14ac:dyDescent="0.15"/>
    <row r="212" spans="1:1" ht="15.75" customHeight="1" x14ac:dyDescent="0.15"/>
    <row r="213" spans="1:1" ht="15.75" customHeight="1" x14ac:dyDescent="0.15"/>
    <row r="214" spans="1:1" ht="15.75" customHeight="1" x14ac:dyDescent="0.15"/>
    <row r="215" spans="1:1" ht="15.75" customHeight="1" x14ac:dyDescent="0.15"/>
    <row r="216" spans="1:1" ht="15.75" customHeight="1" x14ac:dyDescent="0.15"/>
    <row r="217" spans="1:1" ht="15.75" customHeight="1" x14ac:dyDescent="0.15"/>
    <row r="218" spans="1:1" ht="15.75" customHeight="1" x14ac:dyDescent="0.15"/>
    <row r="219" spans="1:1" ht="15.75" customHeight="1" x14ac:dyDescent="0.15"/>
    <row r="220" spans="1:1" ht="15.75" customHeight="1" x14ac:dyDescent="0.15"/>
    <row r="221" spans="1:1" ht="15.75" customHeight="1" x14ac:dyDescent="0.15"/>
    <row r="222" spans="1:1" ht="15.75" customHeight="1" x14ac:dyDescent="0.15"/>
    <row r="223" spans="1:1" ht="15.75" customHeight="1" x14ac:dyDescent="0.15"/>
    <row r="224" spans="1:1" ht="15.75" customHeight="1" x14ac:dyDescent="0.15"/>
    <row r="225" spans="1:1" ht="15.75" customHeight="1" x14ac:dyDescent="0.15"/>
    <row r="226" spans="1:1" ht="15.75" customHeight="1" x14ac:dyDescent="0.15"/>
    <row r="227" spans="1:1" ht="15.75" customHeight="1" x14ac:dyDescent="0.15"/>
    <row r="228" spans="1:1" ht="15.75" customHeight="1" x14ac:dyDescent="0.15"/>
    <row r="229" spans="1:1" ht="15.75" customHeight="1" x14ac:dyDescent="0.15"/>
    <row r="230" spans="1:1" ht="15.75" customHeight="1" x14ac:dyDescent="0.15"/>
    <row r="231" spans="1:1" ht="15.75" customHeight="1" x14ac:dyDescent="0.15"/>
    <row r="232" spans="1:1" ht="15.75" customHeight="1" x14ac:dyDescent="0.15"/>
    <row r="233" spans="1:1" ht="15.75" customHeight="1" x14ac:dyDescent="0.15"/>
    <row r="234" spans="1:1" ht="15.75" customHeight="1" x14ac:dyDescent="0.15"/>
    <row r="235" spans="1:1" ht="15.75" customHeight="1" x14ac:dyDescent="0.15"/>
    <row r="236" spans="1:1" ht="15.75" customHeight="1" x14ac:dyDescent="0.15"/>
    <row r="237" spans="1:1" ht="15.75" customHeight="1" x14ac:dyDescent="0.15"/>
    <row r="238" spans="1:1" ht="15.75" customHeight="1" x14ac:dyDescent="0.15"/>
    <row r="239" spans="1:1" ht="15.75" customHeight="1" x14ac:dyDescent="0.15"/>
    <row r="240" spans="1:1" ht="15.75" customHeight="1" x14ac:dyDescent="0.15"/>
    <row r="241" spans="1:1" ht="15.75" customHeight="1" x14ac:dyDescent="0.15"/>
    <row r="242" spans="1:1" ht="15.75" customHeight="1" x14ac:dyDescent="0.15"/>
    <row r="243" spans="1:1" ht="15.75" customHeight="1" x14ac:dyDescent="0.15"/>
    <row r="244" spans="1:1" ht="15.75" customHeight="1" x14ac:dyDescent="0.15"/>
    <row r="245" spans="1:1" ht="15.75" customHeight="1" x14ac:dyDescent="0.15"/>
    <row r="246" spans="1:1" ht="15.75" customHeight="1" x14ac:dyDescent="0.15"/>
    <row r="247" spans="1:1" ht="15.75" customHeight="1" x14ac:dyDescent="0.15"/>
    <row r="248" spans="1:1" ht="15.75" customHeight="1" x14ac:dyDescent="0.15"/>
    <row r="249" spans="1:1" ht="15.75" customHeight="1" x14ac:dyDescent="0.15"/>
    <row r="250" spans="1:1" ht="15.75" customHeight="1" x14ac:dyDescent="0.15"/>
    <row r="251" spans="1:1" ht="15.75" customHeight="1" x14ac:dyDescent="0.15"/>
    <row r="252" spans="1:1" ht="15.75" customHeight="1" x14ac:dyDescent="0.15"/>
    <row r="253" spans="1:1" ht="15.75" customHeight="1" x14ac:dyDescent="0.15"/>
    <row r="254" spans="1:1" ht="15.75" customHeight="1" x14ac:dyDescent="0.15"/>
    <row r="255" spans="1:1" ht="15.75" customHeight="1" x14ac:dyDescent="0.15"/>
    <row r="256" spans="1:1" ht="15.75" customHeight="1" x14ac:dyDescent="0.15"/>
    <row r="257" spans="1:1" ht="15.75" customHeight="1" x14ac:dyDescent="0.15"/>
    <row r="258" spans="1:1" ht="15.75" customHeight="1" x14ac:dyDescent="0.15"/>
    <row r="259" spans="1:1" ht="15.75" customHeight="1" x14ac:dyDescent="0.15"/>
    <row r="260" spans="1:1" ht="15.75" customHeight="1" x14ac:dyDescent="0.15"/>
    <row r="261" spans="1:1" ht="15.75" customHeight="1" x14ac:dyDescent="0.15"/>
    <row r="262" spans="1:1" ht="15.75" customHeight="1" x14ac:dyDescent="0.15"/>
    <row r="263" spans="1:1" ht="15.75" customHeight="1" x14ac:dyDescent="0.15"/>
    <row r="264" spans="1:1" ht="15.75" customHeight="1" x14ac:dyDescent="0.15"/>
    <row r="265" spans="1:1" ht="15.75" customHeight="1" x14ac:dyDescent="0.15"/>
    <row r="266" spans="1:1" ht="15.75" customHeight="1" x14ac:dyDescent="0.15"/>
    <row r="267" spans="1:1" ht="15.75" customHeight="1" x14ac:dyDescent="0.15"/>
    <row r="268" spans="1:1" ht="15.75" customHeight="1" x14ac:dyDescent="0.15"/>
    <row r="269" spans="1:1" ht="15.75" customHeight="1" x14ac:dyDescent="0.15"/>
    <row r="270" spans="1:1" ht="15.75" customHeight="1" x14ac:dyDescent="0.15"/>
    <row r="271" spans="1:1" ht="15.75" customHeight="1" x14ac:dyDescent="0.15"/>
    <row r="272" spans="1:1" ht="15.75" customHeight="1" x14ac:dyDescent="0.15"/>
    <row r="273" spans="1:1" ht="15.75" customHeight="1" x14ac:dyDescent="0.15"/>
    <row r="274" spans="1:1" ht="15.75" customHeight="1" x14ac:dyDescent="0.15"/>
    <row r="275" spans="1:1" ht="15.75" customHeight="1" x14ac:dyDescent="0.15"/>
    <row r="276" spans="1:1" ht="15.75" customHeight="1" x14ac:dyDescent="0.15"/>
    <row r="277" spans="1:1" ht="15.75" customHeight="1" x14ac:dyDescent="0.15"/>
    <row r="278" spans="1:1" ht="15.75" customHeight="1" x14ac:dyDescent="0.15"/>
    <row r="279" spans="1:1" ht="15.75" customHeight="1" x14ac:dyDescent="0.15"/>
    <row r="280" spans="1:1" ht="15.75" customHeight="1" x14ac:dyDescent="0.15"/>
    <row r="281" spans="1:1" ht="15.75" customHeight="1" x14ac:dyDescent="0.15"/>
    <row r="282" spans="1:1" ht="15.75" customHeight="1" x14ac:dyDescent="0.15"/>
    <row r="283" spans="1:1" ht="15.75" customHeight="1" x14ac:dyDescent="0.15"/>
    <row r="284" spans="1:1" ht="15.75" customHeight="1" x14ac:dyDescent="0.15"/>
    <row r="285" spans="1:1" ht="15.75" customHeight="1" x14ac:dyDescent="0.15"/>
    <row r="286" spans="1:1" ht="15.75" customHeight="1" x14ac:dyDescent="0.15"/>
    <row r="287" spans="1:1" ht="15.75" customHeight="1" x14ac:dyDescent="0.15"/>
    <row r="288" spans="1:1" ht="15.75" customHeight="1" x14ac:dyDescent="0.15"/>
    <row r="289" spans="1:1" ht="15.75" customHeight="1" x14ac:dyDescent="0.15"/>
    <row r="290" spans="1:1" ht="15.75" customHeight="1" x14ac:dyDescent="0.15"/>
    <row r="291" spans="1:1" ht="15.75" customHeight="1" x14ac:dyDescent="0.15"/>
    <row r="292" spans="1:1" ht="15.75" customHeight="1" x14ac:dyDescent="0.15"/>
    <row r="293" spans="1:1" ht="15.75" customHeight="1" x14ac:dyDescent="0.15"/>
    <row r="294" spans="1:1" ht="15.75" customHeight="1" x14ac:dyDescent="0.15"/>
    <row r="295" spans="1:1" ht="15.75" customHeight="1" x14ac:dyDescent="0.15"/>
    <row r="296" spans="1:1" ht="15.75" customHeight="1" x14ac:dyDescent="0.15"/>
    <row r="297" spans="1:1" ht="15.75" customHeight="1" x14ac:dyDescent="0.15"/>
    <row r="298" spans="1:1" ht="15.75" customHeight="1" x14ac:dyDescent="0.15"/>
    <row r="299" spans="1:1" ht="15.75" customHeight="1" x14ac:dyDescent="0.15"/>
    <row r="300" spans="1:1" ht="15.75" customHeight="1" x14ac:dyDescent="0.15"/>
    <row r="301" spans="1:1" ht="15.75" customHeight="1" x14ac:dyDescent="0.15"/>
    <row r="302" spans="1:1" ht="15.75" customHeight="1" x14ac:dyDescent="0.15"/>
    <row r="303" spans="1:1" ht="15.75" customHeight="1" x14ac:dyDescent="0.15"/>
    <row r="304" spans="1:1" ht="15.75" customHeight="1" x14ac:dyDescent="0.15"/>
    <row r="305" spans="1:1" ht="15.75" customHeight="1" x14ac:dyDescent="0.15"/>
    <row r="306" spans="1:1" ht="15.75" customHeight="1" x14ac:dyDescent="0.15"/>
    <row r="307" spans="1:1" ht="15.75" customHeight="1" x14ac:dyDescent="0.15"/>
    <row r="308" spans="1:1" ht="15.75" customHeight="1" x14ac:dyDescent="0.15"/>
    <row r="309" spans="1:1" ht="15.75" customHeight="1" x14ac:dyDescent="0.15"/>
    <row r="310" spans="1:1" ht="15.75" customHeight="1" x14ac:dyDescent="0.15"/>
    <row r="311" spans="1:1" ht="15.75" customHeight="1" x14ac:dyDescent="0.15"/>
    <row r="312" spans="1:1" ht="15.75" customHeight="1" x14ac:dyDescent="0.15"/>
    <row r="313" spans="1:1" ht="15.75" customHeight="1" x14ac:dyDescent="0.15"/>
    <row r="314" spans="1:1" ht="15.75" customHeight="1" x14ac:dyDescent="0.15"/>
    <row r="315" spans="1:1" ht="15.75" customHeight="1" x14ac:dyDescent="0.15"/>
    <row r="316" spans="1:1" ht="15.75" customHeight="1" x14ac:dyDescent="0.15"/>
    <row r="317" spans="1:1" ht="15.75" customHeight="1" x14ac:dyDescent="0.15"/>
    <row r="318" spans="1:1" ht="15.75" customHeight="1" x14ac:dyDescent="0.15"/>
    <row r="319" spans="1:1" ht="15.75" customHeight="1" x14ac:dyDescent="0.15"/>
    <row r="320" spans="1:1" ht="15.75" customHeight="1" x14ac:dyDescent="0.15"/>
    <row r="321" spans="1:1" ht="15.75" customHeight="1" x14ac:dyDescent="0.15"/>
    <row r="322" spans="1:1" ht="15.75" customHeight="1" x14ac:dyDescent="0.15"/>
    <row r="323" spans="1:1" ht="15.75" customHeight="1" x14ac:dyDescent="0.15"/>
    <row r="324" spans="1:1" ht="15.75" customHeight="1" x14ac:dyDescent="0.15"/>
    <row r="325" spans="1:1" ht="15.75" customHeight="1" x14ac:dyDescent="0.15"/>
    <row r="326" spans="1:1" ht="15.75" customHeight="1" x14ac:dyDescent="0.15"/>
    <row r="327" spans="1:1" ht="15.75" customHeight="1" x14ac:dyDescent="0.15"/>
    <row r="328" spans="1:1" ht="15.75" customHeight="1" x14ac:dyDescent="0.15"/>
    <row r="329" spans="1:1" ht="15.75" customHeight="1" x14ac:dyDescent="0.15"/>
    <row r="330" spans="1:1" ht="15.75" customHeight="1" x14ac:dyDescent="0.15"/>
    <row r="331" spans="1:1" ht="15.75" customHeight="1" x14ac:dyDescent="0.15"/>
    <row r="332" spans="1:1" ht="15.75" customHeight="1" x14ac:dyDescent="0.15"/>
    <row r="333" spans="1:1" ht="15.75" customHeight="1" x14ac:dyDescent="0.15"/>
    <row r="334" spans="1:1" ht="15.75" customHeight="1" x14ac:dyDescent="0.15"/>
    <row r="335" spans="1:1" ht="15.75" customHeight="1" x14ac:dyDescent="0.15"/>
    <row r="336" spans="1:1" ht="15.75" customHeight="1" x14ac:dyDescent="0.15"/>
    <row r="337" spans="1:1" ht="15.75" customHeight="1" x14ac:dyDescent="0.15"/>
    <row r="338" spans="1:1" ht="15.75" customHeight="1" x14ac:dyDescent="0.15"/>
    <row r="339" spans="1:1" ht="15.75" customHeight="1" x14ac:dyDescent="0.15"/>
    <row r="340" spans="1:1" ht="15.75" customHeight="1" x14ac:dyDescent="0.15"/>
    <row r="341" spans="1:1" ht="15.75" customHeight="1" x14ac:dyDescent="0.15"/>
    <row r="342" spans="1:1" ht="15.75" customHeight="1" x14ac:dyDescent="0.15"/>
    <row r="343" spans="1:1" ht="15.75" customHeight="1" x14ac:dyDescent="0.15"/>
    <row r="344" spans="1:1" ht="15.75" customHeight="1" x14ac:dyDescent="0.15"/>
    <row r="345" spans="1:1" ht="15.75" customHeight="1" x14ac:dyDescent="0.15"/>
    <row r="346" spans="1:1" ht="15.75" customHeight="1" x14ac:dyDescent="0.15"/>
    <row r="347" spans="1:1" ht="15.75" customHeight="1" x14ac:dyDescent="0.15"/>
    <row r="348" spans="1:1" ht="15.75" customHeight="1" x14ac:dyDescent="0.15"/>
    <row r="349" spans="1:1" ht="15.75" customHeight="1" x14ac:dyDescent="0.15"/>
    <row r="350" spans="1:1" ht="15.75" customHeight="1" x14ac:dyDescent="0.15"/>
    <row r="351" spans="1:1" ht="15.75" customHeight="1" x14ac:dyDescent="0.15"/>
    <row r="352" spans="1:1" ht="15.75" customHeight="1" x14ac:dyDescent="0.15"/>
    <row r="353" spans="1:1" ht="15.75" customHeight="1" x14ac:dyDescent="0.15"/>
    <row r="354" spans="1:1" ht="15.75" customHeight="1" x14ac:dyDescent="0.15"/>
    <row r="355" spans="1:1" ht="15.75" customHeight="1" x14ac:dyDescent="0.15"/>
    <row r="356" spans="1:1" ht="15.75" customHeight="1" x14ac:dyDescent="0.15"/>
    <row r="357" spans="1:1" ht="15.75" customHeight="1" x14ac:dyDescent="0.15"/>
    <row r="358" spans="1:1" ht="15.75" customHeight="1" x14ac:dyDescent="0.15"/>
    <row r="359" spans="1:1" ht="15.75" customHeight="1" x14ac:dyDescent="0.15"/>
    <row r="360" spans="1:1" ht="15.75" customHeight="1" x14ac:dyDescent="0.15"/>
    <row r="361" spans="1:1" ht="15.75" customHeight="1" x14ac:dyDescent="0.15"/>
    <row r="362" spans="1:1" ht="15.75" customHeight="1" x14ac:dyDescent="0.15"/>
    <row r="363" spans="1:1" ht="15.75" customHeight="1" x14ac:dyDescent="0.15"/>
    <row r="364" spans="1:1" ht="15.75" customHeight="1" x14ac:dyDescent="0.15"/>
    <row r="365" spans="1:1" ht="15.75" customHeight="1" x14ac:dyDescent="0.15"/>
    <row r="366" spans="1:1" ht="15.75" customHeight="1" x14ac:dyDescent="0.15"/>
    <row r="367" spans="1:1" ht="15.75" customHeight="1" x14ac:dyDescent="0.15"/>
    <row r="368" spans="1:1" ht="15.75" customHeight="1" x14ac:dyDescent="0.15"/>
    <row r="369" spans="1:1" ht="15.75" customHeight="1" x14ac:dyDescent="0.15"/>
    <row r="370" spans="1:1" ht="15.75" customHeight="1" x14ac:dyDescent="0.15"/>
    <row r="371" spans="1:1" ht="15.75" customHeight="1" x14ac:dyDescent="0.15"/>
    <row r="372" spans="1:1" ht="15.75" customHeight="1" x14ac:dyDescent="0.15"/>
    <row r="373" spans="1:1" ht="15.75" customHeight="1" x14ac:dyDescent="0.15"/>
    <row r="374" spans="1:1" ht="15.75" customHeight="1" x14ac:dyDescent="0.15"/>
    <row r="375" spans="1:1" ht="15.75" customHeight="1" x14ac:dyDescent="0.15"/>
    <row r="376" spans="1:1" ht="15.75" customHeight="1" x14ac:dyDescent="0.15"/>
    <row r="377" spans="1:1" ht="15.75" customHeight="1" x14ac:dyDescent="0.15"/>
    <row r="378" spans="1:1" ht="15.75" customHeight="1" x14ac:dyDescent="0.15"/>
    <row r="379" spans="1:1" ht="15.75" customHeight="1" x14ac:dyDescent="0.15"/>
    <row r="380" spans="1:1" ht="15.75" customHeight="1" x14ac:dyDescent="0.15"/>
    <row r="381" spans="1:1" ht="15.75" customHeight="1" x14ac:dyDescent="0.15"/>
    <row r="382" spans="1:1" ht="15.75" customHeight="1" x14ac:dyDescent="0.15"/>
    <row r="383" spans="1:1" ht="15.75" customHeight="1" x14ac:dyDescent="0.15"/>
    <row r="384" spans="1:1" ht="15.75" customHeight="1" x14ac:dyDescent="0.15"/>
    <row r="385" spans="1:1" ht="15.75" customHeight="1" x14ac:dyDescent="0.15"/>
    <row r="386" spans="1:1" ht="15.75" customHeight="1" x14ac:dyDescent="0.15"/>
    <row r="387" spans="1:1" ht="15.75" customHeight="1" x14ac:dyDescent="0.15"/>
    <row r="388" spans="1:1" ht="15.75" customHeight="1" x14ac:dyDescent="0.15"/>
    <row r="389" spans="1:1" ht="15.75" customHeight="1" x14ac:dyDescent="0.15"/>
    <row r="390" spans="1:1" ht="15.75" customHeight="1" x14ac:dyDescent="0.15"/>
    <row r="391" spans="1:1" ht="15.75" customHeight="1" x14ac:dyDescent="0.15"/>
    <row r="392" spans="1:1" ht="15.75" customHeight="1" x14ac:dyDescent="0.15"/>
    <row r="393" spans="1:1" ht="15.75" customHeight="1" x14ac:dyDescent="0.15"/>
    <row r="394" spans="1:1" ht="15.75" customHeight="1" x14ac:dyDescent="0.15"/>
    <row r="395" spans="1:1" ht="15.75" customHeight="1" x14ac:dyDescent="0.15"/>
    <row r="396" spans="1:1" ht="15.75" customHeight="1" x14ac:dyDescent="0.15"/>
    <row r="397" spans="1:1" ht="15.75" customHeight="1" x14ac:dyDescent="0.15"/>
    <row r="398" spans="1:1" ht="15.75" customHeight="1" x14ac:dyDescent="0.15"/>
    <row r="399" spans="1:1" ht="15.75" customHeight="1" x14ac:dyDescent="0.15"/>
    <row r="400" spans="1:1" ht="15.75" customHeight="1" x14ac:dyDescent="0.15"/>
    <row r="401" spans="1:1" ht="15.75" customHeight="1" x14ac:dyDescent="0.15"/>
    <row r="402" spans="1:1" ht="15.75" customHeight="1" x14ac:dyDescent="0.15"/>
    <row r="403" spans="1:1" ht="15.75" customHeight="1" x14ac:dyDescent="0.15"/>
    <row r="404" spans="1:1" ht="15.75" customHeight="1" x14ac:dyDescent="0.15"/>
    <row r="405" spans="1:1" ht="15.75" customHeight="1" x14ac:dyDescent="0.15"/>
    <row r="406" spans="1:1" ht="15.75" customHeight="1" x14ac:dyDescent="0.15"/>
    <row r="407" spans="1:1" ht="15.75" customHeight="1" x14ac:dyDescent="0.15"/>
    <row r="408" spans="1:1" ht="15.75" customHeight="1" x14ac:dyDescent="0.15"/>
    <row r="409" spans="1:1" ht="15.75" customHeight="1" x14ac:dyDescent="0.15"/>
    <row r="410" spans="1:1" ht="15.75" customHeight="1" x14ac:dyDescent="0.15"/>
    <row r="411" spans="1:1" ht="15.75" customHeight="1" x14ac:dyDescent="0.15"/>
    <row r="412" spans="1:1" ht="15.75" customHeight="1" x14ac:dyDescent="0.15"/>
    <row r="413" spans="1:1" ht="15.75" customHeight="1" x14ac:dyDescent="0.15"/>
    <row r="414" spans="1:1" ht="15.75" customHeight="1" x14ac:dyDescent="0.15"/>
    <row r="415" spans="1:1" ht="15.75" customHeight="1" x14ac:dyDescent="0.15"/>
    <row r="416" spans="1:1" ht="15.75" customHeight="1" x14ac:dyDescent="0.15"/>
    <row r="417" spans="1:1" ht="15.75" customHeight="1" x14ac:dyDescent="0.15"/>
    <row r="418" spans="1:1" ht="15.75" customHeight="1" x14ac:dyDescent="0.15"/>
    <row r="419" spans="1:1" ht="15.75" customHeight="1" x14ac:dyDescent="0.15"/>
    <row r="420" spans="1:1" ht="15.75" customHeight="1" x14ac:dyDescent="0.15"/>
    <row r="421" spans="1:1" ht="15.75" customHeight="1" x14ac:dyDescent="0.15"/>
    <row r="422" spans="1:1" ht="15.75" customHeight="1" x14ac:dyDescent="0.15"/>
    <row r="423" spans="1:1" ht="15.75" customHeight="1" x14ac:dyDescent="0.15"/>
    <row r="424" spans="1:1" ht="15.75" customHeight="1" x14ac:dyDescent="0.15"/>
    <row r="425" spans="1:1" ht="15.75" customHeight="1" x14ac:dyDescent="0.15"/>
    <row r="426" spans="1:1" ht="15.75" customHeight="1" x14ac:dyDescent="0.15"/>
    <row r="427" spans="1:1" ht="15.75" customHeight="1" x14ac:dyDescent="0.15"/>
    <row r="428" spans="1:1" ht="15.75" customHeight="1" x14ac:dyDescent="0.15"/>
    <row r="429" spans="1:1" ht="15.75" customHeight="1" x14ac:dyDescent="0.15"/>
    <row r="430" spans="1:1" ht="15.75" customHeight="1" x14ac:dyDescent="0.15"/>
    <row r="431" spans="1:1" ht="15.75" customHeight="1" x14ac:dyDescent="0.15"/>
    <row r="432" spans="1:1" ht="15.75" customHeight="1" x14ac:dyDescent="0.15"/>
    <row r="433" spans="1:1" ht="15.75" customHeight="1" x14ac:dyDescent="0.15"/>
    <row r="434" spans="1:1" ht="15.75" customHeight="1" x14ac:dyDescent="0.15"/>
    <row r="435" spans="1:1" ht="15.75" customHeight="1" x14ac:dyDescent="0.15"/>
    <row r="436" spans="1:1" ht="15.75" customHeight="1" x14ac:dyDescent="0.15"/>
    <row r="437" spans="1:1" ht="15.75" customHeight="1" x14ac:dyDescent="0.15"/>
    <row r="438" spans="1:1" ht="15.75" customHeight="1" x14ac:dyDescent="0.15"/>
    <row r="439" spans="1:1" ht="15.75" customHeight="1" x14ac:dyDescent="0.15"/>
    <row r="440" spans="1:1" ht="15.75" customHeight="1" x14ac:dyDescent="0.15"/>
    <row r="441" spans="1:1" ht="15.75" customHeight="1" x14ac:dyDescent="0.15"/>
    <row r="442" spans="1:1" ht="15.75" customHeight="1" x14ac:dyDescent="0.15"/>
    <row r="443" spans="1:1" ht="15.75" customHeight="1" x14ac:dyDescent="0.15"/>
    <row r="444" spans="1:1" ht="15.75" customHeight="1" x14ac:dyDescent="0.15"/>
    <row r="445" spans="1:1" ht="15.75" customHeight="1" x14ac:dyDescent="0.15"/>
    <row r="446" spans="1:1" ht="15.75" customHeight="1" x14ac:dyDescent="0.15"/>
    <row r="447" spans="1:1" ht="15.75" customHeight="1" x14ac:dyDescent="0.15"/>
    <row r="448" spans="1:1" ht="15.75" customHeight="1" x14ac:dyDescent="0.15"/>
    <row r="449" spans="1:1" ht="15.75" customHeight="1" x14ac:dyDescent="0.15"/>
    <row r="450" spans="1:1" ht="15.75" customHeight="1" x14ac:dyDescent="0.15"/>
    <row r="451" spans="1:1" ht="15.75" customHeight="1" x14ac:dyDescent="0.15"/>
    <row r="452" spans="1:1" ht="15.75" customHeight="1" x14ac:dyDescent="0.15"/>
    <row r="453" spans="1:1" ht="15.75" customHeight="1" x14ac:dyDescent="0.15"/>
    <row r="454" spans="1:1" ht="15.75" customHeight="1" x14ac:dyDescent="0.15"/>
    <row r="455" spans="1:1" ht="15.75" customHeight="1" x14ac:dyDescent="0.15"/>
    <row r="456" spans="1:1" ht="15.75" customHeight="1" x14ac:dyDescent="0.15"/>
    <row r="457" spans="1:1" ht="15.75" customHeight="1" x14ac:dyDescent="0.15"/>
    <row r="458" spans="1:1" ht="15.75" customHeight="1" x14ac:dyDescent="0.15"/>
    <row r="459" spans="1:1" ht="15.75" customHeight="1" x14ac:dyDescent="0.15"/>
    <row r="460" spans="1:1" ht="15.75" customHeight="1" x14ac:dyDescent="0.15"/>
    <row r="461" spans="1:1" ht="15.75" customHeight="1" x14ac:dyDescent="0.15"/>
    <row r="462" spans="1:1" ht="15.75" customHeight="1" x14ac:dyDescent="0.15"/>
    <row r="463" spans="1:1" ht="15.75" customHeight="1" x14ac:dyDescent="0.15"/>
    <row r="464" spans="1:1" ht="15.75" customHeight="1" x14ac:dyDescent="0.15"/>
    <row r="465" spans="1:1" ht="15.75" customHeight="1" x14ac:dyDescent="0.15"/>
    <row r="466" spans="1:1" ht="15.75" customHeight="1" x14ac:dyDescent="0.15"/>
    <row r="467" spans="1:1" ht="15.75" customHeight="1" x14ac:dyDescent="0.15"/>
    <row r="468" spans="1:1" ht="15.75" customHeight="1" x14ac:dyDescent="0.15"/>
    <row r="469" spans="1:1" ht="15.75" customHeight="1" x14ac:dyDescent="0.15"/>
    <row r="470" spans="1:1" ht="15.75" customHeight="1" x14ac:dyDescent="0.15"/>
    <row r="471" spans="1:1" ht="15.75" customHeight="1" x14ac:dyDescent="0.15"/>
    <row r="472" spans="1:1" ht="15.75" customHeight="1" x14ac:dyDescent="0.15"/>
    <row r="473" spans="1:1" ht="15.75" customHeight="1" x14ac:dyDescent="0.15"/>
    <row r="474" spans="1:1" ht="15.75" customHeight="1" x14ac:dyDescent="0.15"/>
    <row r="475" spans="1:1" ht="15.75" customHeight="1" x14ac:dyDescent="0.15"/>
    <row r="476" spans="1:1" ht="15.75" customHeight="1" x14ac:dyDescent="0.15"/>
    <row r="477" spans="1:1" ht="15.75" customHeight="1" x14ac:dyDescent="0.15"/>
    <row r="478" spans="1:1" ht="15.75" customHeight="1" x14ac:dyDescent="0.15"/>
    <row r="479" spans="1:1" ht="15.75" customHeight="1" x14ac:dyDescent="0.15"/>
    <row r="480" spans="1:1" ht="15.75" customHeight="1" x14ac:dyDescent="0.15"/>
    <row r="481" spans="1:1" ht="15.75" customHeight="1" x14ac:dyDescent="0.15"/>
    <row r="482" spans="1:1" ht="15.75" customHeight="1" x14ac:dyDescent="0.15"/>
    <row r="483" spans="1:1" ht="15.75" customHeight="1" x14ac:dyDescent="0.15"/>
    <row r="484" spans="1:1" ht="15.75" customHeight="1" x14ac:dyDescent="0.15"/>
    <row r="485" spans="1:1" ht="15.75" customHeight="1" x14ac:dyDescent="0.15"/>
    <row r="486" spans="1:1" ht="15.75" customHeight="1" x14ac:dyDescent="0.15"/>
    <row r="487" spans="1:1" ht="15.75" customHeight="1" x14ac:dyDescent="0.15"/>
    <row r="488" spans="1:1" ht="15.75" customHeight="1" x14ac:dyDescent="0.15"/>
    <row r="489" spans="1:1" ht="15.75" customHeight="1" x14ac:dyDescent="0.15"/>
    <row r="490" spans="1:1" ht="15.75" customHeight="1" x14ac:dyDescent="0.15"/>
    <row r="491" spans="1:1" ht="15.75" customHeight="1" x14ac:dyDescent="0.15"/>
    <row r="492" spans="1:1" ht="15.75" customHeight="1" x14ac:dyDescent="0.15"/>
    <row r="493" spans="1:1" ht="15.75" customHeight="1" x14ac:dyDescent="0.15"/>
    <row r="494" spans="1:1" ht="15.75" customHeight="1" x14ac:dyDescent="0.15"/>
    <row r="495" spans="1:1" ht="15.75" customHeight="1" x14ac:dyDescent="0.15"/>
    <row r="496" spans="1:1" ht="15.75" customHeight="1" x14ac:dyDescent="0.15"/>
    <row r="497" spans="1:1" ht="15.75" customHeight="1" x14ac:dyDescent="0.15"/>
    <row r="498" spans="1:1" ht="15.75" customHeight="1" x14ac:dyDescent="0.15"/>
    <row r="499" spans="1:1" ht="15.75" customHeight="1" x14ac:dyDescent="0.15"/>
    <row r="500" spans="1:1" ht="15.75" customHeight="1" x14ac:dyDescent="0.15"/>
    <row r="501" spans="1:1" ht="15.75" customHeight="1" x14ac:dyDescent="0.15"/>
    <row r="502" spans="1:1" ht="15.75" customHeight="1" x14ac:dyDescent="0.15"/>
    <row r="503" spans="1:1" ht="15.75" customHeight="1" x14ac:dyDescent="0.15"/>
    <row r="504" spans="1:1" ht="15.75" customHeight="1" x14ac:dyDescent="0.15"/>
    <row r="505" spans="1:1" ht="15.75" customHeight="1" x14ac:dyDescent="0.15"/>
    <row r="506" spans="1:1" ht="15.75" customHeight="1" x14ac:dyDescent="0.15"/>
    <row r="507" spans="1:1" ht="15.75" customHeight="1" x14ac:dyDescent="0.15"/>
    <row r="508" spans="1:1" ht="15.75" customHeight="1" x14ac:dyDescent="0.15"/>
    <row r="509" spans="1:1" ht="15.75" customHeight="1" x14ac:dyDescent="0.15"/>
    <row r="510" spans="1:1" ht="15.75" customHeight="1" x14ac:dyDescent="0.15"/>
    <row r="511" spans="1:1" ht="15.75" customHeight="1" x14ac:dyDescent="0.15"/>
    <row r="512" spans="1:1" ht="15.75" customHeight="1" x14ac:dyDescent="0.15"/>
    <row r="513" spans="1:1" ht="15.75" customHeight="1" x14ac:dyDescent="0.15"/>
    <row r="514" spans="1:1" ht="15.75" customHeight="1" x14ac:dyDescent="0.15"/>
    <row r="515" spans="1:1" ht="15.75" customHeight="1" x14ac:dyDescent="0.15"/>
    <row r="516" spans="1:1" ht="15.75" customHeight="1" x14ac:dyDescent="0.15"/>
    <row r="517" spans="1:1" ht="15.75" customHeight="1" x14ac:dyDescent="0.15"/>
    <row r="518" spans="1:1" ht="15.75" customHeight="1" x14ac:dyDescent="0.15"/>
    <row r="519" spans="1:1" ht="15.75" customHeight="1" x14ac:dyDescent="0.15"/>
    <row r="520" spans="1:1" ht="15.75" customHeight="1" x14ac:dyDescent="0.15"/>
    <row r="521" spans="1:1" ht="15.75" customHeight="1" x14ac:dyDescent="0.15"/>
    <row r="522" spans="1:1" ht="15.75" customHeight="1" x14ac:dyDescent="0.15"/>
    <row r="523" spans="1:1" ht="15.75" customHeight="1" x14ac:dyDescent="0.15"/>
    <row r="524" spans="1:1" ht="15.75" customHeight="1" x14ac:dyDescent="0.15"/>
    <row r="525" spans="1:1" ht="15.75" customHeight="1" x14ac:dyDescent="0.15"/>
    <row r="526" spans="1:1" ht="15.75" customHeight="1" x14ac:dyDescent="0.15"/>
    <row r="527" spans="1:1" ht="15.75" customHeight="1" x14ac:dyDescent="0.15"/>
    <row r="528" spans="1:1" ht="15.75" customHeight="1" x14ac:dyDescent="0.15"/>
    <row r="529" spans="1:1" ht="15.75" customHeight="1" x14ac:dyDescent="0.15"/>
    <row r="530" spans="1:1" ht="15.75" customHeight="1" x14ac:dyDescent="0.15"/>
    <row r="531" spans="1:1" ht="15.75" customHeight="1" x14ac:dyDescent="0.15"/>
    <row r="532" spans="1:1" ht="15.75" customHeight="1" x14ac:dyDescent="0.15"/>
    <row r="533" spans="1:1" ht="15.75" customHeight="1" x14ac:dyDescent="0.15"/>
    <row r="534" spans="1:1" ht="15.75" customHeight="1" x14ac:dyDescent="0.15"/>
    <row r="535" spans="1:1" ht="15.75" customHeight="1" x14ac:dyDescent="0.15"/>
    <row r="536" spans="1:1" ht="15.75" customHeight="1" x14ac:dyDescent="0.15"/>
    <row r="537" spans="1:1" ht="15.75" customHeight="1" x14ac:dyDescent="0.15"/>
    <row r="538" spans="1:1" ht="15.75" customHeight="1" x14ac:dyDescent="0.15"/>
    <row r="539" spans="1:1" ht="15.75" customHeight="1" x14ac:dyDescent="0.15"/>
    <row r="540" spans="1:1" ht="15.75" customHeight="1" x14ac:dyDescent="0.15"/>
    <row r="541" spans="1:1" ht="15.75" customHeight="1" x14ac:dyDescent="0.15"/>
    <row r="542" spans="1:1" ht="15.75" customHeight="1" x14ac:dyDescent="0.15"/>
    <row r="543" spans="1:1" ht="15.75" customHeight="1" x14ac:dyDescent="0.15"/>
    <row r="544" spans="1:1" ht="15.75" customHeight="1" x14ac:dyDescent="0.15"/>
    <row r="545" spans="1:1" ht="15.75" customHeight="1" x14ac:dyDescent="0.15"/>
    <row r="546" spans="1:1" ht="15.75" customHeight="1" x14ac:dyDescent="0.15"/>
    <row r="547" spans="1:1" ht="15.75" customHeight="1" x14ac:dyDescent="0.15"/>
    <row r="548" spans="1:1" ht="15.75" customHeight="1" x14ac:dyDescent="0.15"/>
    <row r="549" spans="1:1" ht="15.75" customHeight="1" x14ac:dyDescent="0.15"/>
    <row r="550" spans="1:1" ht="15.75" customHeight="1" x14ac:dyDescent="0.15"/>
    <row r="551" spans="1:1" ht="15.75" customHeight="1" x14ac:dyDescent="0.15"/>
    <row r="552" spans="1:1" ht="15.75" customHeight="1" x14ac:dyDescent="0.15"/>
    <row r="553" spans="1:1" ht="15.75" customHeight="1" x14ac:dyDescent="0.15"/>
    <row r="554" spans="1:1" ht="15.75" customHeight="1" x14ac:dyDescent="0.15"/>
    <row r="555" spans="1:1" ht="15.75" customHeight="1" x14ac:dyDescent="0.15"/>
    <row r="556" spans="1:1" ht="15.75" customHeight="1" x14ac:dyDescent="0.15"/>
    <row r="557" spans="1:1" ht="15.75" customHeight="1" x14ac:dyDescent="0.15"/>
    <row r="558" spans="1:1" ht="15.75" customHeight="1" x14ac:dyDescent="0.15"/>
    <row r="559" spans="1:1" ht="15.75" customHeight="1" x14ac:dyDescent="0.15"/>
    <row r="560" spans="1:1" ht="15.75" customHeight="1" x14ac:dyDescent="0.15"/>
    <row r="561" spans="1:1" ht="15.75" customHeight="1" x14ac:dyDescent="0.15"/>
    <row r="562" spans="1:1" ht="15.75" customHeight="1" x14ac:dyDescent="0.15"/>
    <row r="563" spans="1:1" ht="15.75" customHeight="1" x14ac:dyDescent="0.15"/>
    <row r="564" spans="1:1" ht="15.75" customHeight="1" x14ac:dyDescent="0.15"/>
    <row r="565" spans="1:1" ht="15.75" customHeight="1" x14ac:dyDescent="0.15"/>
    <row r="566" spans="1:1" ht="15.75" customHeight="1" x14ac:dyDescent="0.15"/>
    <row r="567" spans="1:1" ht="15.75" customHeight="1" x14ac:dyDescent="0.15"/>
    <row r="568" spans="1:1" ht="15.75" customHeight="1" x14ac:dyDescent="0.15"/>
    <row r="569" spans="1:1" ht="15.75" customHeight="1" x14ac:dyDescent="0.15"/>
    <row r="570" spans="1:1" ht="15.75" customHeight="1" x14ac:dyDescent="0.15"/>
    <row r="571" spans="1:1" ht="15.75" customHeight="1" x14ac:dyDescent="0.15"/>
    <row r="572" spans="1:1" ht="15.75" customHeight="1" x14ac:dyDescent="0.15"/>
    <row r="573" spans="1:1" ht="15.75" customHeight="1" x14ac:dyDescent="0.15"/>
    <row r="574" spans="1:1" ht="15.75" customHeight="1" x14ac:dyDescent="0.15"/>
    <row r="575" spans="1:1" ht="15.75" customHeight="1" x14ac:dyDescent="0.15"/>
    <row r="576" spans="1:1" ht="15.75" customHeight="1" x14ac:dyDescent="0.15"/>
    <row r="577" spans="1:1" ht="15.75" customHeight="1" x14ac:dyDescent="0.15"/>
    <row r="578" spans="1:1" ht="15.75" customHeight="1" x14ac:dyDescent="0.15"/>
    <row r="579" spans="1:1" ht="15.75" customHeight="1" x14ac:dyDescent="0.15"/>
    <row r="580" spans="1:1" ht="15.75" customHeight="1" x14ac:dyDescent="0.15"/>
    <row r="581" spans="1:1" ht="15.75" customHeight="1" x14ac:dyDescent="0.15"/>
    <row r="582" spans="1:1" ht="15.75" customHeight="1" x14ac:dyDescent="0.15"/>
    <row r="583" spans="1:1" ht="15.75" customHeight="1" x14ac:dyDescent="0.15"/>
    <row r="584" spans="1:1" ht="15.75" customHeight="1" x14ac:dyDescent="0.15"/>
    <row r="585" spans="1:1" ht="15.75" customHeight="1" x14ac:dyDescent="0.15"/>
    <row r="586" spans="1:1" ht="15.75" customHeight="1" x14ac:dyDescent="0.15"/>
    <row r="587" spans="1:1" ht="15.75" customHeight="1" x14ac:dyDescent="0.15"/>
    <row r="588" spans="1:1" ht="15.75" customHeight="1" x14ac:dyDescent="0.15"/>
    <row r="589" spans="1:1" ht="15.75" customHeight="1" x14ac:dyDescent="0.15"/>
    <row r="590" spans="1:1" ht="15.75" customHeight="1" x14ac:dyDescent="0.15"/>
    <row r="591" spans="1:1" ht="15.75" customHeight="1" x14ac:dyDescent="0.15"/>
    <row r="592" spans="1:1" ht="15.75" customHeight="1" x14ac:dyDescent="0.15"/>
    <row r="593" spans="1:1" ht="15.75" customHeight="1" x14ac:dyDescent="0.15"/>
    <row r="594" spans="1:1" ht="15.75" customHeight="1" x14ac:dyDescent="0.15"/>
    <row r="595" spans="1:1" ht="15.75" customHeight="1" x14ac:dyDescent="0.15"/>
    <row r="596" spans="1:1" ht="15.75" customHeight="1" x14ac:dyDescent="0.15"/>
    <row r="597" spans="1:1" ht="15.75" customHeight="1" x14ac:dyDescent="0.15"/>
    <row r="598" spans="1:1" ht="15.75" customHeight="1" x14ac:dyDescent="0.15"/>
    <row r="599" spans="1:1" ht="15.75" customHeight="1" x14ac:dyDescent="0.15"/>
    <row r="600" spans="1:1" ht="15.75" customHeight="1" x14ac:dyDescent="0.15"/>
    <row r="601" spans="1:1" ht="15.75" customHeight="1" x14ac:dyDescent="0.15"/>
    <row r="602" spans="1:1" ht="15.75" customHeight="1" x14ac:dyDescent="0.15"/>
    <row r="603" spans="1:1" ht="15.75" customHeight="1" x14ac:dyDescent="0.15"/>
    <row r="604" spans="1:1" ht="15.75" customHeight="1" x14ac:dyDescent="0.15"/>
    <row r="605" spans="1:1" ht="15.75" customHeight="1" x14ac:dyDescent="0.15"/>
    <row r="606" spans="1:1" ht="15.75" customHeight="1" x14ac:dyDescent="0.15"/>
    <row r="607" spans="1:1" ht="15.75" customHeight="1" x14ac:dyDescent="0.15"/>
    <row r="608" spans="1:1" ht="15.75" customHeight="1" x14ac:dyDescent="0.15"/>
    <row r="609" spans="1:1" ht="15.75" customHeight="1" x14ac:dyDescent="0.15"/>
    <row r="610" spans="1:1" ht="15.75" customHeight="1" x14ac:dyDescent="0.15"/>
    <row r="611" spans="1:1" ht="15.75" customHeight="1" x14ac:dyDescent="0.15"/>
    <row r="612" spans="1:1" ht="15.75" customHeight="1" x14ac:dyDescent="0.15"/>
    <row r="613" spans="1:1" ht="15.75" customHeight="1" x14ac:dyDescent="0.15"/>
    <row r="614" spans="1:1" ht="15.75" customHeight="1" x14ac:dyDescent="0.15"/>
    <row r="615" spans="1:1" ht="15.75" customHeight="1" x14ac:dyDescent="0.15"/>
    <row r="616" spans="1:1" ht="15.75" customHeight="1" x14ac:dyDescent="0.15"/>
    <row r="617" spans="1:1" ht="15.75" customHeight="1" x14ac:dyDescent="0.15"/>
    <row r="618" spans="1:1" ht="15.75" customHeight="1" x14ac:dyDescent="0.15"/>
    <row r="619" spans="1:1" ht="15.75" customHeight="1" x14ac:dyDescent="0.15"/>
    <row r="620" spans="1:1" ht="15.75" customHeight="1" x14ac:dyDescent="0.15"/>
    <row r="621" spans="1:1" ht="15.75" customHeight="1" x14ac:dyDescent="0.15"/>
    <row r="622" spans="1:1" ht="15.75" customHeight="1" x14ac:dyDescent="0.15"/>
    <row r="623" spans="1:1" ht="15.75" customHeight="1" x14ac:dyDescent="0.15"/>
    <row r="624" spans="1:1" ht="15.75" customHeight="1" x14ac:dyDescent="0.15"/>
    <row r="625" spans="1:1" ht="15.75" customHeight="1" x14ac:dyDescent="0.15"/>
    <row r="626" spans="1:1" ht="15.75" customHeight="1" x14ac:dyDescent="0.15"/>
    <row r="627" spans="1:1" ht="15.75" customHeight="1" x14ac:dyDescent="0.15"/>
    <row r="628" spans="1:1" ht="15.75" customHeight="1" x14ac:dyDescent="0.15"/>
    <row r="629" spans="1:1" ht="15.75" customHeight="1" x14ac:dyDescent="0.15"/>
    <row r="630" spans="1:1" ht="15.75" customHeight="1" x14ac:dyDescent="0.15"/>
    <row r="631" spans="1:1" ht="15.75" customHeight="1" x14ac:dyDescent="0.15"/>
    <row r="632" spans="1:1" ht="15.75" customHeight="1" x14ac:dyDescent="0.15"/>
    <row r="633" spans="1:1" ht="15.75" customHeight="1" x14ac:dyDescent="0.15"/>
    <row r="634" spans="1:1" ht="15.75" customHeight="1" x14ac:dyDescent="0.15"/>
    <row r="635" spans="1:1" ht="15.75" customHeight="1" x14ac:dyDescent="0.15"/>
    <row r="636" spans="1:1" ht="15.75" customHeight="1" x14ac:dyDescent="0.15"/>
    <row r="637" spans="1:1" ht="15.75" customHeight="1" x14ac:dyDescent="0.15"/>
    <row r="638" spans="1:1" ht="15.75" customHeight="1" x14ac:dyDescent="0.15"/>
    <row r="639" spans="1:1" ht="15.75" customHeight="1" x14ac:dyDescent="0.15"/>
    <row r="640" spans="1:1" ht="15.75" customHeight="1" x14ac:dyDescent="0.15"/>
    <row r="641" spans="1:1" ht="15.75" customHeight="1" x14ac:dyDescent="0.15"/>
    <row r="642" spans="1:1" ht="15.75" customHeight="1" x14ac:dyDescent="0.15"/>
    <row r="643" spans="1:1" ht="15.75" customHeight="1" x14ac:dyDescent="0.15"/>
    <row r="644" spans="1:1" ht="15.75" customHeight="1" x14ac:dyDescent="0.15"/>
    <row r="645" spans="1:1" ht="15.75" customHeight="1" x14ac:dyDescent="0.15"/>
    <row r="646" spans="1:1" ht="15.75" customHeight="1" x14ac:dyDescent="0.15"/>
    <row r="647" spans="1:1" ht="15.75" customHeight="1" x14ac:dyDescent="0.15"/>
    <row r="648" spans="1:1" ht="15.75" customHeight="1" x14ac:dyDescent="0.15"/>
    <row r="649" spans="1:1" ht="15.75" customHeight="1" x14ac:dyDescent="0.15"/>
    <row r="650" spans="1:1" ht="15.75" customHeight="1" x14ac:dyDescent="0.15"/>
    <row r="651" spans="1:1" ht="15.75" customHeight="1" x14ac:dyDescent="0.15"/>
    <row r="652" spans="1:1" ht="15.75" customHeight="1" x14ac:dyDescent="0.15"/>
    <row r="653" spans="1:1" ht="15.75" customHeight="1" x14ac:dyDescent="0.15"/>
    <row r="654" spans="1:1" ht="15.75" customHeight="1" x14ac:dyDescent="0.15"/>
    <row r="655" spans="1:1" ht="15.75" customHeight="1" x14ac:dyDescent="0.15"/>
    <row r="656" spans="1:1" ht="15.75" customHeight="1" x14ac:dyDescent="0.15"/>
    <row r="657" spans="1:1" ht="15.75" customHeight="1" x14ac:dyDescent="0.15"/>
    <row r="658" spans="1:1" ht="15.75" customHeight="1" x14ac:dyDescent="0.15"/>
    <row r="659" spans="1:1" ht="15.75" customHeight="1" x14ac:dyDescent="0.15"/>
    <row r="660" spans="1:1" ht="15.75" customHeight="1" x14ac:dyDescent="0.15"/>
    <row r="661" spans="1:1" ht="15.75" customHeight="1" x14ac:dyDescent="0.15"/>
    <row r="662" spans="1:1" ht="15.75" customHeight="1" x14ac:dyDescent="0.15"/>
    <row r="663" spans="1:1" ht="15.75" customHeight="1" x14ac:dyDescent="0.15"/>
    <row r="664" spans="1:1" ht="15.75" customHeight="1" x14ac:dyDescent="0.15"/>
    <row r="665" spans="1:1" ht="15.75" customHeight="1" x14ac:dyDescent="0.15"/>
    <row r="666" spans="1:1" ht="15.75" customHeight="1" x14ac:dyDescent="0.15"/>
    <row r="667" spans="1:1" ht="15.75" customHeight="1" x14ac:dyDescent="0.15"/>
    <row r="668" spans="1:1" ht="15.75" customHeight="1" x14ac:dyDescent="0.15"/>
    <row r="669" spans="1:1" ht="15.75" customHeight="1" x14ac:dyDescent="0.15"/>
    <row r="670" spans="1:1" ht="15.75" customHeight="1" x14ac:dyDescent="0.15"/>
    <row r="671" spans="1:1" ht="15.75" customHeight="1" x14ac:dyDescent="0.15"/>
    <row r="672" spans="1:1" ht="15.75" customHeight="1" x14ac:dyDescent="0.15"/>
    <row r="673" spans="1:1" ht="15.75" customHeight="1" x14ac:dyDescent="0.15"/>
    <row r="674" spans="1:1" ht="15.75" customHeight="1" x14ac:dyDescent="0.15"/>
    <row r="675" spans="1:1" ht="15.75" customHeight="1" x14ac:dyDescent="0.15"/>
    <row r="676" spans="1:1" ht="15.75" customHeight="1" x14ac:dyDescent="0.15"/>
    <row r="677" spans="1:1" ht="15.75" customHeight="1" x14ac:dyDescent="0.15"/>
    <row r="678" spans="1:1" ht="15.75" customHeight="1" x14ac:dyDescent="0.15"/>
    <row r="679" spans="1:1" ht="15.75" customHeight="1" x14ac:dyDescent="0.15"/>
    <row r="680" spans="1:1" ht="15.75" customHeight="1" x14ac:dyDescent="0.15"/>
    <row r="681" spans="1:1" ht="15.75" customHeight="1" x14ac:dyDescent="0.15"/>
    <row r="682" spans="1:1" ht="15.75" customHeight="1" x14ac:dyDescent="0.15"/>
    <row r="683" spans="1:1" ht="15.75" customHeight="1" x14ac:dyDescent="0.15"/>
    <row r="684" spans="1:1" ht="15.75" customHeight="1" x14ac:dyDescent="0.15"/>
    <row r="685" spans="1:1" ht="15.75" customHeight="1" x14ac:dyDescent="0.15"/>
    <row r="686" spans="1:1" ht="15.75" customHeight="1" x14ac:dyDescent="0.15"/>
    <row r="687" spans="1:1" ht="15.75" customHeight="1" x14ac:dyDescent="0.15"/>
    <row r="688" spans="1:1" ht="15.75" customHeight="1" x14ac:dyDescent="0.15"/>
    <row r="689" spans="1:1" ht="15.75" customHeight="1" x14ac:dyDescent="0.15"/>
    <row r="690" spans="1:1" ht="15.75" customHeight="1" x14ac:dyDescent="0.15"/>
    <row r="691" spans="1:1" ht="15.75" customHeight="1" x14ac:dyDescent="0.15"/>
    <row r="692" spans="1:1" ht="15.75" customHeight="1" x14ac:dyDescent="0.15"/>
    <row r="693" spans="1:1" ht="15.75" customHeight="1" x14ac:dyDescent="0.15"/>
    <row r="694" spans="1:1" ht="15.75" customHeight="1" x14ac:dyDescent="0.15"/>
    <row r="695" spans="1:1" ht="15.75" customHeight="1" x14ac:dyDescent="0.15"/>
    <row r="696" spans="1:1" ht="15.75" customHeight="1" x14ac:dyDescent="0.15"/>
    <row r="697" spans="1:1" ht="15.75" customHeight="1" x14ac:dyDescent="0.15"/>
    <row r="698" spans="1:1" ht="15.75" customHeight="1" x14ac:dyDescent="0.15"/>
    <row r="699" spans="1:1" ht="15.75" customHeight="1" x14ac:dyDescent="0.15"/>
    <row r="700" spans="1:1" ht="15.75" customHeight="1" x14ac:dyDescent="0.15"/>
    <row r="701" spans="1:1" ht="15.75" customHeight="1" x14ac:dyDescent="0.15"/>
    <row r="702" spans="1:1" ht="15.75" customHeight="1" x14ac:dyDescent="0.15"/>
    <row r="703" spans="1:1" ht="15.75" customHeight="1" x14ac:dyDescent="0.15"/>
    <row r="704" spans="1:1" ht="15.75" customHeight="1" x14ac:dyDescent="0.15"/>
    <row r="705" spans="1:1" ht="15.75" customHeight="1" x14ac:dyDescent="0.15"/>
    <row r="706" spans="1:1" ht="15.75" customHeight="1" x14ac:dyDescent="0.15"/>
    <row r="707" spans="1:1" ht="15.75" customHeight="1" x14ac:dyDescent="0.15"/>
    <row r="708" spans="1:1" ht="15.75" customHeight="1" x14ac:dyDescent="0.15"/>
    <row r="709" spans="1:1" ht="15.75" customHeight="1" x14ac:dyDescent="0.15"/>
    <row r="710" spans="1:1" ht="15.75" customHeight="1" x14ac:dyDescent="0.15"/>
    <row r="711" spans="1:1" ht="15.75" customHeight="1" x14ac:dyDescent="0.15"/>
    <row r="712" spans="1:1" ht="15.75" customHeight="1" x14ac:dyDescent="0.15"/>
    <row r="713" spans="1:1" ht="15.75" customHeight="1" x14ac:dyDescent="0.15"/>
    <row r="714" spans="1:1" ht="15.75" customHeight="1" x14ac:dyDescent="0.15"/>
    <row r="715" spans="1:1" ht="15.75" customHeight="1" x14ac:dyDescent="0.15"/>
    <row r="716" spans="1:1" ht="15.75" customHeight="1" x14ac:dyDescent="0.15"/>
    <row r="717" spans="1:1" ht="15.75" customHeight="1" x14ac:dyDescent="0.15"/>
    <row r="718" spans="1:1" ht="15.75" customHeight="1" x14ac:dyDescent="0.15"/>
    <row r="719" spans="1:1" ht="15.75" customHeight="1" x14ac:dyDescent="0.15"/>
    <row r="720" spans="1:1" ht="15.75" customHeight="1" x14ac:dyDescent="0.15"/>
    <row r="721" spans="1:1" ht="15.75" customHeight="1" x14ac:dyDescent="0.15"/>
    <row r="722" spans="1:1" ht="15.75" customHeight="1" x14ac:dyDescent="0.15"/>
    <row r="723" spans="1:1" ht="15.75" customHeight="1" x14ac:dyDescent="0.15"/>
    <row r="724" spans="1:1" ht="15.75" customHeight="1" x14ac:dyDescent="0.15"/>
    <row r="725" spans="1:1" ht="15.75" customHeight="1" x14ac:dyDescent="0.15"/>
    <row r="726" spans="1:1" ht="15.75" customHeight="1" x14ac:dyDescent="0.15"/>
    <row r="727" spans="1:1" ht="15.75" customHeight="1" x14ac:dyDescent="0.15"/>
    <row r="728" spans="1:1" ht="15.75" customHeight="1" x14ac:dyDescent="0.15"/>
    <row r="729" spans="1:1" ht="15.75" customHeight="1" x14ac:dyDescent="0.15"/>
    <row r="730" spans="1:1" ht="15.75" customHeight="1" x14ac:dyDescent="0.15"/>
    <row r="731" spans="1:1" ht="15.75" customHeight="1" x14ac:dyDescent="0.15"/>
    <row r="732" spans="1:1" ht="15.75" customHeight="1" x14ac:dyDescent="0.15"/>
    <row r="733" spans="1:1" ht="15.75" customHeight="1" x14ac:dyDescent="0.15"/>
    <row r="734" spans="1:1" ht="15.75" customHeight="1" x14ac:dyDescent="0.15"/>
    <row r="735" spans="1:1" ht="15.75" customHeight="1" x14ac:dyDescent="0.15"/>
    <row r="736" spans="1:1" ht="15.75" customHeight="1" x14ac:dyDescent="0.15"/>
    <row r="737" spans="1:1" ht="15.75" customHeight="1" x14ac:dyDescent="0.15"/>
    <row r="738" spans="1:1" ht="15.75" customHeight="1" x14ac:dyDescent="0.15"/>
    <row r="739" spans="1:1" ht="15.75" customHeight="1" x14ac:dyDescent="0.15"/>
    <row r="740" spans="1:1" ht="15.75" customHeight="1" x14ac:dyDescent="0.15"/>
    <row r="741" spans="1:1" ht="15.75" customHeight="1" x14ac:dyDescent="0.15"/>
    <row r="742" spans="1:1" ht="15.75" customHeight="1" x14ac:dyDescent="0.15"/>
    <row r="743" spans="1:1" ht="15.75" customHeight="1" x14ac:dyDescent="0.15"/>
    <row r="744" spans="1:1" ht="15.75" customHeight="1" x14ac:dyDescent="0.15"/>
    <row r="745" spans="1:1" ht="15.75" customHeight="1" x14ac:dyDescent="0.15"/>
    <row r="746" spans="1:1" ht="15.75" customHeight="1" x14ac:dyDescent="0.15"/>
    <row r="747" spans="1:1" ht="15.75" customHeight="1" x14ac:dyDescent="0.15"/>
    <row r="748" spans="1:1" ht="15.75" customHeight="1" x14ac:dyDescent="0.15"/>
    <row r="749" spans="1:1" ht="15.75" customHeight="1" x14ac:dyDescent="0.15"/>
    <row r="750" spans="1:1" ht="15.75" customHeight="1" x14ac:dyDescent="0.15"/>
    <row r="751" spans="1:1" ht="15.75" customHeight="1" x14ac:dyDescent="0.15"/>
    <row r="752" spans="1:1" ht="15.75" customHeight="1" x14ac:dyDescent="0.15"/>
    <row r="753" spans="1:1" ht="15.75" customHeight="1" x14ac:dyDescent="0.15"/>
    <row r="754" spans="1:1" ht="15.75" customHeight="1" x14ac:dyDescent="0.15"/>
    <row r="755" spans="1:1" ht="15.75" customHeight="1" x14ac:dyDescent="0.15"/>
    <row r="756" spans="1:1" ht="15.75" customHeight="1" x14ac:dyDescent="0.15"/>
    <row r="757" spans="1:1" ht="15.75" customHeight="1" x14ac:dyDescent="0.15"/>
    <row r="758" spans="1:1" ht="15.75" customHeight="1" x14ac:dyDescent="0.15"/>
    <row r="759" spans="1:1" ht="15.75" customHeight="1" x14ac:dyDescent="0.15"/>
    <row r="760" spans="1:1" ht="15.75" customHeight="1" x14ac:dyDescent="0.15"/>
    <row r="761" spans="1:1" ht="15.75" customHeight="1" x14ac:dyDescent="0.15"/>
    <row r="762" spans="1:1" ht="15.75" customHeight="1" x14ac:dyDescent="0.15"/>
    <row r="763" spans="1:1" ht="15.75" customHeight="1" x14ac:dyDescent="0.15"/>
    <row r="764" spans="1:1" ht="15.75" customHeight="1" x14ac:dyDescent="0.15"/>
    <row r="765" spans="1:1" ht="15.75" customHeight="1" x14ac:dyDescent="0.15"/>
    <row r="766" spans="1:1" ht="15.75" customHeight="1" x14ac:dyDescent="0.15"/>
    <row r="767" spans="1:1" ht="15.75" customHeight="1" x14ac:dyDescent="0.15"/>
    <row r="768" spans="1:1" ht="15.75" customHeight="1" x14ac:dyDescent="0.15"/>
    <row r="769" spans="1:1" ht="15.75" customHeight="1" x14ac:dyDescent="0.15"/>
    <row r="770" spans="1:1" ht="15.75" customHeight="1" x14ac:dyDescent="0.15"/>
    <row r="771" spans="1:1" ht="15.75" customHeight="1" x14ac:dyDescent="0.15"/>
    <row r="772" spans="1:1" ht="15.75" customHeight="1" x14ac:dyDescent="0.15"/>
    <row r="773" spans="1:1" ht="15.75" customHeight="1" x14ac:dyDescent="0.15"/>
    <row r="774" spans="1:1" ht="15.75" customHeight="1" x14ac:dyDescent="0.15"/>
    <row r="775" spans="1:1" ht="15.75" customHeight="1" x14ac:dyDescent="0.15"/>
    <row r="776" spans="1:1" ht="15.75" customHeight="1" x14ac:dyDescent="0.15"/>
    <row r="777" spans="1:1" ht="15.75" customHeight="1" x14ac:dyDescent="0.15"/>
    <row r="778" spans="1:1" ht="15.75" customHeight="1" x14ac:dyDescent="0.15"/>
    <row r="779" spans="1:1" ht="15.75" customHeight="1" x14ac:dyDescent="0.15"/>
    <row r="780" spans="1:1" ht="15.75" customHeight="1" x14ac:dyDescent="0.15"/>
    <row r="781" spans="1:1" ht="15.75" customHeight="1" x14ac:dyDescent="0.15"/>
    <row r="782" spans="1:1" ht="15.75" customHeight="1" x14ac:dyDescent="0.15"/>
    <row r="783" spans="1:1" ht="15.75" customHeight="1" x14ac:dyDescent="0.15"/>
    <row r="784" spans="1:1" ht="15.75" customHeight="1" x14ac:dyDescent="0.15"/>
    <row r="785" spans="1:1" ht="15.75" customHeight="1" x14ac:dyDescent="0.15"/>
    <row r="786" spans="1:1" ht="15.75" customHeight="1" x14ac:dyDescent="0.15"/>
    <row r="787" spans="1:1" ht="15.75" customHeight="1" x14ac:dyDescent="0.15"/>
    <row r="788" spans="1:1" ht="15.75" customHeight="1" x14ac:dyDescent="0.15"/>
    <row r="789" spans="1:1" ht="15.75" customHeight="1" x14ac:dyDescent="0.15"/>
    <row r="790" spans="1:1" ht="15.75" customHeight="1" x14ac:dyDescent="0.15"/>
    <row r="791" spans="1:1" ht="15.75" customHeight="1" x14ac:dyDescent="0.15"/>
    <row r="792" spans="1:1" ht="15.75" customHeight="1" x14ac:dyDescent="0.15"/>
    <row r="793" spans="1:1" ht="15.75" customHeight="1" x14ac:dyDescent="0.15"/>
    <row r="794" spans="1:1" ht="15.75" customHeight="1" x14ac:dyDescent="0.15"/>
    <row r="795" spans="1:1" ht="15.75" customHeight="1" x14ac:dyDescent="0.15"/>
    <row r="796" spans="1:1" ht="15.75" customHeight="1" x14ac:dyDescent="0.15"/>
    <row r="797" spans="1:1" ht="15.75" customHeight="1" x14ac:dyDescent="0.15"/>
    <row r="798" spans="1:1" ht="15.75" customHeight="1" x14ac:dyDescent="0.15"/>
    <row r="799" spans="1:1" ht="15.75" customHeight="1" x14ac:dyDescent="0.15"/>
    <row r="800" spans="1:1" ht="15.75" customHeight="1" x14ac:dyDescent="0.15"/>
    <row r="801" spans="1:1" ht="15.75" customHeight="1" x14ac:dyDescent="0.15"/>
    <row r="802" spans="1:1" ht="15.75" customHeight="1" x14ac:dyDescent="0.15"/>
    <row r="803" spans="1:1" ht="15.75" customHeight="1" x14ac:dyDescent="0.15"/>
    <row r="804" spans="1:1" ht="15.75" customHeight="1" x14ac:dyDescent="0.15"/>
    <row r="805" spans="1:1" ht="15.75" customHeight="1" x14ac:dyDescent="0.15"/>
    <row r="806" spans="1:1" ht="15.75" customHeight="1" x14ac:dyDescent="0.15"/>
    <row r="807" spans="1:1" ht="15.75" customHeight="1" x14ac:dyDescent="0.15"/>
    <row r="808" spans="1:1" ht="15.75" customHeight="1" x14ac:dyDescent="0.15"/>
    <row r="809" spans="1:1" ht="15.75" customHeight="1" x14ac:dyDescent="0.15"/>
    <row r="810" spans="1:1" ht="15.75" customHeight="1" x14ac:dyDescent="0.15"/>
    <row r="811" spans="1:1" ht="15.75" customHeight="1" x14ac:dyDescent="0.15"/>
    <row r="812" spans="1:1" ht="15.75" customHeight="1" x14ac:dyDescent="0.15"/>
    <row r="813" spans="1:1" ht="15.75" customHeight="1" x14ac:dyDescent="0.15"/>
    <row r="814" spans="1:1" ht="15.75" customHeight="1" x14ac:dyDescent="0.15"/>
    <row r="815" spans="1:1" ht="15.75" customHeight="1" x14ac:dyDescent="0.15"/>
    <row r="816" spans="1:1" ht="15.75" customHeight="1" x14ac:dyDescent="0.15"/>
    <row r="817" spans="1:1" ht="15.75" customHeight="1" x14ac:dyDescent="0.15"/>
    <row r="818" spans="1:1" ht="15.75" customHeight="1" x14ac:dyDescent="0.15"/>
    <row r="819" spans="1:1" ht="15.75" customHeight="1" x14ac:dyDescent="0.15"/>
    <row r="820" spans="1:1" ht="15.75" customHeight="1" x14ac:dyDescent="0.15"/>
    <row r="821" spans="1:1" ht="15.75" customHeight="1" x14ac:dyDescent="0.15"/>
    <row r="822" spans="1:1" ht="15.75" customHeight="1" x14ac:dyDescent="0.15"/>
    <row r="823" spans="1:1" ht="15.75" customHeight="1" x14ac:dyDescent="0.15"/>
    <row r="824" spans="1:1" ht="15.75" customHeight="1" x14ac:dyDescent="0.15"/>
    <row r="825" spans="1:1" ht="15.75" customHeight="1" x14ac:dyDescent="0.15"/>
    <row r="826" spans="1:1" ht="15.75" customHeight="1" x14ac:dyDescent="0.15"/>
    <row r="827" spans="1:1" ht="15.75" customHeight="1" x14ac:dyDescent="0.15"/>
    <row r="828" spans="1:1" ht="15.75" customHeight="1" x14ac:dyDescent="0.15"/>
    <row r="829" spans="1:1" ht="15.75" customHeight="1" x14ac:dyDescent="0.15"/>
    <row r="830" spans="1:1" ht="15.75" customHeight="1" x14ac:dyDescent="0.15"/>
    <row r="831" spans="1:1" ht="15.75" customHeight="1" x14ac:dyDescent="0.15"/>
    <row r="832" spans="1:1" ht="15.75" customHeight="1" x14ac:dyDescent="0.15"/>
    <row r="833" spans="1:1" ht="15.75" customHeight="1" x14ac:dyDescent="0.15"/>
    <row r="834" spans="1:1" ht="15.75" customHeight="1" x14ac:dyDescent="0.15"/>
    <row r="835" spans="1:1" ht="15.75" customHeight="1" x14ac:dyDescent="0.15"/>
    <row r="836" spans="1:1" ht="15.75" customHeight="1" x14ac:dyDescent="0.15"/>
    <row r="837" spans="1:1" ht="15.75" customHeight="1" x14ac:dyDescent="0.15"/>
    <row r="838" spans="1:1" ht="15.75" customHeight="1" x14ac:dyDescent="0.15"/>
    <row r="839" spans="1:1" ht="15.75" customHeight="1" x14ac:dyDescent="0.15"/>
    <row r="840" spans="1:1" ht="15.75" customHeight="1" x14ac:dyDescent="0.15"/>
    <row r="841" spans="1:1" ht="15.75" customHeight="1" x14ac:dyDescent="0.15"/>
    <row r="842" spans="1:1" ht="15.75" customHeight="1" x14ac:dyDescent="0.15"/>
    <row r="843" spans="1:1" ht="15.75" customHeight="1" x14ac:dyDescent="0.15"/>
    <row r="844" spans="1:1" ht="15.75" customHeight="1" x14ac:dyDescent="0.15"/>
    <row r="845" spans="1:1" ht="15.75" customHeight="1" x14ac:dyDescent="0.15"/>
    <row r="846" spans="1:1" ht="15.75" customHeight="1" x14ac:dyDescent="0.15"/>
    <row r="847" spans="1:1" ht="15.75" customHeight="1" x14ac:dyDescent="0.15"/>
    <row r="848" spans="1:1" ht="15.75" customHeight="1" x14ac:dyDescent="0.15"/>
    <row r="849" spans="1:1" ht="15.75" customHeight="1" x14ac:dyDescent="0.15"/>
    <row r="850" spans="1:1" ht="15.75" customHeight="1" x14ac:dyDescent="0.15"/>
    <row r="851" spans="1:1" ht="15.75" customHeight="1" x14ac:dyDescent="0.15"/>
    <row r="852" spans="1:1" ht="15.75" customHeight="1" x14ac:dyDescent="0.15"/>
    <row r="853" spans="1:1" ht="15.75" customHeight="1" x14ac:dyDescent="0.15"/>
    <row r="854" spans="1:1" ht="15.75" customHeight="1" x14ac:dyDescent="0.15"/>
    <row r="855" spans="1:1" ht="15.75" customHeight="1" x14ac:dyDescent="0.15"/>
    <row r="856" spans="1:1" ht="15.75" customHeight="1" x14ac:dyDescent="0.15"/>
    <row r="857" spans="1:1" ht="15.75" customHeight="1" x14ac:dyDescent="0.15"/>
    <row r="858" spans="1:1" ht="15.75" customHeight="1" x14ac:dyDescent="0.15"/>
    <row r="859" spans="1:1" ht="15.75" customHeight="1" x14ac:dyDescent="0.15"/>
    <row r="860" spans="1:1" ht="15.75" customHeight="1" x14ac:dyDescent="0.15"/>
    <row r="861" spans="1:1" ht="15.75" customHeight="1" x14ac:dyDescent="0.15"/>
    <row r="862" spans="1:1" ht="15.75" customHeight="1" x14ac:dyDescent="0.15"/>
    <row r="863" spans="1:1" ht="15.75" customHeight="1" x14ac:dyDescent="0.15"/>
    <row r="864" spans="1:1" ht="15.75" customHeight="1" x14ac:dyDescent="0.15"/>
    <row r="865" spans="1:1" ht="15.75" customHeight="1" x14ac:dyDescent="0.15"/>
    <row r="866" spans="1:1" ht="15.75" customHeight="1" x14ac:dyDescent="0.15"/>
    <row r="867" spans="1:1" ht="15.75" customHeight="1" x14ac:dyDescent="0.15"/>
    <row r="868" spans="1:1" ht="15.75" customHeight="1" x14ac:dyDescent="0.15"/>
    <row r="869" spans="1:1" ht="15.75" customHeight="1" x14ac:dyDescent="0.15"/>
    <row r="870" spans="1:1" ht="15.75" customHeight="1" x14ac:dyDescent="0.15"/>
    <row r="871" spans="1:1" ht="15.75" customHeight="1" x14ac:dyDescent="0.15"/>
    <row r="872" spans="1:1" ht="15.75" customHeight="1" x14ac:dyDescent="0.15"/>
    <row r="873" spans="1:1" ht="15.75" customHeight="1" x14ac:dyDescent="0.15"/>
    <row r="874" spans="1:1" ht="15.75" customHeight="1" x14ac:dyDescent="0.15"/>
    <row r="875" spans="1:1" ht="15.75" customHeight="1" x14ac:dyDescent="0.15"/>
    <row r="876" spans="1:1" ht="15.75" customHeight="1" x14ac:dyDescent="0.15"/>
    <row r="877" spans="1:1" ht="15.75" customHeight="1" x14ac:dyDescent="0.15"/>
    <row r="878" spans="1:1" ht="15.75" customHeight="1" x14ac:dyDescent="0.15"/>
    <row r="879" spans="1:1" ht="15.75" customHeight="1" x14ac:dyDescent="0.15"/>
    <row r="880" spans="1:1" ht="15.75" customHeight="1" x14ac:dyDescent="0.15"/>
    <row r="881" spans="1:1" ht="15.75" customHeight="1" x14ac:dyDescent="0.15"/>
    <row r="882" spans="1:1" ht="15.75" customHeight="1" x14ac:dyDescent="0.15"/>
    <row r="883" spans="1:1" ht="15.75" customHeight="1" x14ac:dyDescent="0.15"/>
    <row r="884" spans="1:1" ht="15.75" customHeight="1" x14ac:dyDescent="0.15"/>
    <row r="885" spans="1:1" ht="15.75" customHeight="1" x14ac:dyDescent="0.15"/>
    <row r="886" spans="1:1" ht="15.75" customHeight="1" x14ac:dyDescent="0.15"/>
    <row r="887" spans="1:1" ht="15.75" customHeight="1" x14ac:dyDescent="0.15"/>
    <row r="888" spans="1:1" ht="15.75" customHeight="1" x14ac:dyDescent="0.15"/>
    <row r="889" spans="1:1" ht="15.75" customHeight="1" x14ac:dyDescent="0.15"/>
    <row r="890" spans="1:1" ht="15.75" customHeight="1" x14ac:dyDescent="0.15"/>
    <row r="891" spans="1:1" ht="15.75" customHeight="1" x14ac:dyDescent="0.15"/>
    <row r="892" spans="1:1" ht="15.75" customHeight="1" x14ac:dyDescent="0.15"/>
    <row r="893" spans="1:1" ht="15.75" customHeight="1" x14ac:dyDescent="0.15"/>
    <row r="894" spans="1:1" ht="15.75" customHeight="1" x14ac:dyDescent="0.15"/>
    <row r="895" spans="1:1" ht="15.75" customHeight="1" x14ac:dyDescent="0.15"/>
    <row r="896" spans="1:1" ht="15.75" customHeight="1" x14ac:dyDescent="0.15"/>
    <row r="897" spans="1:1" ht="15.75" customHeight="1" x14ac:dyDescent="0.15"/>
    <row r="898" spans="1:1" ht="15.75" customHeight="1" x14ac:dyDescent="0.15"/>
    <row r="899" spans="1:1" ht="15.75" customHeight="1" x14ac:dyDescent="0.15"/>
    <row r="900" spans="1:1" ht="15.75" customHeight="1" x14ac:dyDescent="0.15"/>
    <row r="901" spans="1:1" ht="15.75" customHeight="1" x14ac:dyDescent="0.15"/>
    <row r="902" spans="1:1" ht="15.75" customHeight="1" x14ac:dyDescent="0.15"/>
    <row r="903" spans="1:1" ht="15.75" customHeight="1" x14ac:dyDescent="0.15"/>
    <row r="904" spans="1:1" ht="15.75" customHeight="1" x14ac:dyDescent="0.15"/>
    <row r="905" spans="1:1" ht="15.75" customHeight="1" x14ac:dyDescent="0.15"/>
    <row r="906" spans="1:1" ht="15.75" customHeight="1" x14ac:dyDescent="0.15"/>
    <row r="907" spans="1:1" ht="15.75" customHeight="1" x14ac:dyDescent="0.15"/>
    <row r="908" spans="1:1" ht="15.75" customHeight="1" x14ac:dyDescent="0.15"/>
    <row r="909" spans="1:1" ht="15.75" customHeight="1" x14ac:dyDescent="0.15"/>
    <row r="910" spans="1:1" ht="15.75" customHeight="1" x14ac:dyDescent="0.15"/>
    <row r="911" spans="1:1" ht="15.75" customHeight="1" x14ac:dyDescent="0.15"/>
    <row r="912" spans="1:1" ht="15.75" customHeight="1" x14ac:dyDescent="0.15"/>
    <row r="913" spans="1:1" ht="15.75" customHeight="1" x14ac:dyDescent="0.15"/>
    <row r="914" spans="1:1" ht="15.75" customHeight="1" x14ac:dyDescent="0.15"/>
    <row r="915" spans="1:1" ht="15.75" customHeight="1" x14ac:dyDescent="0.15"/>
    <row r="916" spans="1:1" ht="15.75" customHeight="1" x14ac:dyDescent="0.15"/>
    <row r="917" spans="1:1" ht="15.75" customHeight="1" x14ac:dyDescent="0.15"/>
    <row r="918" spans="1:1" ht="15.75" customHeight="1" x14ac:dyDescent="0.15"/>
    <row r="919" spans="1:1" ht="15.75" customHeight="1" x14ac:dyDescent="0.15"/>
    <row r="920" spans="1:1" ht="15.75" customHeight="1" x14ac:dyDescent="0.15"/>
    <row r="921" spans="1:1" ht="15.75" customHeight="1" x14ac:dyDescent="0.15"/>
    <row r="922" spans="1:1" ht="15.75" customHeight="1" x14ac:dyDescent="0.15"/>
    <row r="923" spans="1:1" ht="15.75" customHeight="1" x14ac:dyDescent="0.15"/>
    <row r="924" spans="1:1" ht="15.75" customHeight="1" x14ac:dyDescent="0.15"/>
    <row r="925" spans="1:1" ht="15.75" customHeight="1" x14ac:dyDescent="0.15"/>
    <row r="926" spans="1:1" ht="15.75" customHeight="1" x14ac:dyDescent="0.15"/>
    <row r="927" spans="1:1" ht="15.75" customHeight="1" x14ac:dyDescent="0.15"/>
    <row r="928" spans="1:1" ht="15.75" customHeight="1" x14ac:dyDescent="0.15"/>
    <row r="929" spans="1:1" ht="15.75" customHeight="1" x14ac:dyDescent="0.15"/>
    <row r="930" spans="1:1" ht="15.75" customHeight="1" x14ac:dyDescent="0.15"/>
    <row r="931" spans="1:1" ht="15.75" customHeight="1" x14ac:dyDescent="0.15"/>
    <row r="932" spans="1:1" ht="15.75" customHeight="1" x14ac:dyDescent="0.15"/>
    <row r="933" spans="1:1" ht="15.75" customHeight="1" x14ac:dyDescent="0.15"/>
    <row r="934" spans="1:1" ht="15.75" customHeight="1" x14ac:dyDescent="0.15"/>
    <row r="935" spans="1:1" ht="15.75" customHeight="1" x14ac:dyDescent="0.15"/>
    <row r="936" spans="1:1" ht="15.75" customHeight="1" x14ac:dyDescent="0.15"/>
    <row r="937" spans="1:1" ht="15.75" customHeight="1" x14ac:dyDescent="0.15"/>
    <row r="938" spans="1:1" ht="15.75" customHeight="1" x14ac:dyDescent="0.15"/>
    <row r="939" spans="1:1" ht="15.75" customHeight="1" x14ac:dyDescent="0.15"/>
    <row r="940" spans="1:1" ht="15.75" customHeight="1" x14ac:dyDescent="0.15"/>
    <row r="941" spans="1:1" ht="15.75" customHeight="1" x14ac:dyDescent="0.15"/>
    <row r="942" spans="1:1" ht="15.75" customHeight="1" x14ac:dyDescent="0.15"/>
    <row r="943" spans="1:1" ht="15.75" customHeight="1" x14ac:dyDescent="0.15"/>
    <row r="944" spans="1:1" ht="15.75" customHeight="1" x14ac:dyDescent="0.15"/>
    <row r="945" spans="1:1" ht="15.75" customHeight="1" x14ac:dyDescent="0.15"/>
    <row r="946" spans="1:1" ht="15.75" customHeight="1" x14ac:dyDescent="0.15"/>
    <row r="947" spans="1:1" ht="15.75" customHeight="1" x14ac:dyDescent="0.15"/>
    <row r="948" spans="1:1" ht="15.75" customHeight="1" x14ac:dyDescent="0.15"/>
    <row r="949" spans="1:1" ht="15.75" customHeight="1" x14ac:dyDescent="0.15"/>
    <row r="950" spans="1:1" ht="15.75" customHeight="1" x14ac:dyDescent="0.15"/>
    <row r="951" spans="1:1" ht="15.75" customHeight="1" x14ac:dyDescent="0.15"/>
    <row r="952" spans="1:1" ht="15.75" customHeight="1" x14ac:dyDescent="0.15"/>
    <row r="953" spans="1:1" ht="15.75" customHeight="1" x14ac:dyDescent="0.15"/>
    <row r="954" spans="1:1" ht="15.75" customHeight="1" x14ac:dyDescent="0.15"/>
    <row r="955" spans="1:1" ht="15.75" customHeight="1" x14ac:dyDescent="0.15"/>
    <row r="956" spans="1:1" ht="15.75" customHeight="1" x14ac:dyDescent="0.15"/>
    <row r="957" spans="1:1" ht="15.75" customHeight="1" x14ac:dyDescent="0.15"/>
    <row r="958" spans="1:1" ht="15.75" customHeight="1" x14ac:dyDescent="0.15"/>
    <row r="959" spans="1:1" ht="15.75" customHeight="1" x14ac:dyDescent="0.15"/>
    <row r="960" spans="1:1" ht="15.75" customHeight="1" x14ac:dyDescent="0.15"/>
    <row r="961" spans="1:1" ht="15.75" customHeight="1" x14ac:dyDescent="0.15"/>
    <row r="962" spans="1:1" ht="15.75" customHeight="1" x14ac:dyDescent="0.15"/>
    <row r="963" spans="1:1" ht="15.75" customHeight="1" x14ac:dyDescent="0.15"/>
    <row r="964" spans="1:1" ht="15.75" customHeight="1" x14ac:dyDescent="0.15"/>
    <row r="965" spans="1:1" ht="15.75" customHeight="1" x14ac:dyDescent="0.15"/>
    <row r="966" spans="1:1" ht="15.75" customHeight="1" x14ac:dyDescent="0.15"/>
    <row r="967" spans="1:1" ht="15.75" customHeight="1" x14ac:dyDescent="0.15"/>
    <row r="968" spans="1:1" ht="15.75" customHeight="1" x14ac:dyDescent="0.15"/>
    <row r="969" spans="1:1" ht="15.75" customHeight="1" x14ac:dyDescent="0.15"/>
    <row r="970" spans="1:1" ht="15.75" customHeight="1" x14ac:dyDescent="0.15"/>
    <row r="971" spans="1:1" ht="15.75" customHeight="1" x14ac:dyDescent="0.15"/>
    <row r="972" spans="1:1" ht="15.75" customHeight="1" x14ac:dyDescent="0.15"/>
    <row r="973" spans="1:1" ht="15.75" customHeight="1" x14ac:dyDescent="0.15"/>
    <row r="974" spans="1:1" ht="15.75" customHeight="1" x14ac:dyDescent="0.15"/>
    <row r="975" spans="1:1" ht="15.75" customHeight="1" x14ac:dyDescent="0.15"/>
    <row r="976" spans="1:1" ht="15.75" customHeight="1" x14ac:dyDescent="0.15"/>
    <row r="977" spans="1:1" ht="15.75" customHeight="1" x14ac:dyDescent="0.15"/>
    <row r="978" spans="1:1" ht="15.75" customHeight="1" x14ac:dyDescent="0.15"/>
    <row r="979" spans="1:1" ht="15.75" customHeight="1" x14ac:dyDescent="0.15"/>
    <row r="980" spans="1:1" ht="15.75" customHeight="1" x14ac:dyDescent="0.15"/>
    <row r="981" spans="1:1" ht="15.75" customHeight="1" x14ac:dyDescent="0.15"/>
    <row r="982" spans="1:1" ht="15.75" customHeight="1" x14ac:dyDescent="0.15"/>
    <row r="983" spans="1:1" ht="15.75" customHeight="1" x14ac:dyDescent="0.15"/>
    <row r="984" spans="1:1" ht="15.75" customHeight="1" x14ac:dyDescent="0.15"/>
    <row r="985" spans="1:1" ht="15.75" customHeight="1" x14ac:dyDescent="0.15"/>
    <row r="986" spans="1:1" ht="15.75" customHeight="1" x14ac:dyDescent="0.15"/>
    <row r="987" spans="1:1" ht="15.75" customHeight="1" x14ac:dyDescent="0.15"/>
    <row r="988" spans="1:1" ht="15.75" customHeight="1" x14ac:dyDescent="0.15"/>
    <row r="989" spans="1:1" ht="15.75" customHeight="1" x14ac:dyDescent="0.15"/>
    <row r="990" spans="1:1" ht="15.75" customHeight="1" x14ac:dyDescent="0.15"/>
    <row r="991" spans="1:1" ht="15.75" customHeight="1" x14ac:dyDescent="0.15"/>
    <row r="992" spans="1:1" ht="15.75" customHeight="1" x14ac:dyDescent="0.15"/>
    <row r="993" spans="1:1" ht="15.75" customHeight="1" x14ac:dyDescent="0.15"/>
    <row r="994" spans="1:1" ht="15.75" customHeight="1" x14ac:dyDescent="0.15"/>
    <row r="995" spans="1:1" ht="15.75" customHeight="1" x14ac:dyDescent="0.15"/>
    <row r="996" spans="1:1" ht="15.75" customHeight="1" x14ac:dyDescent="0.15"/>
    <row r="997" spans="1:1" ht="15.75" customHeight="1" x14ac:dyDescent="0.15"/>
    <row r="998" spans="1:1" ht="15.75" customHeight="1" x14ac:dyDescent="0.15"/>
    <row r="999" spans="1:1" ht="15.75" customHeight="1" x14ac:dyDescent="0.15"/>
    <row r="1000" spans="1:1" ht="15.75" customHeight="1" x14ac:dyDescent="0.15"/>
    <row r="1001" spans="1:1" ht="15.75" customHeight="1" x14ac:dyDescent="0.15"/>
    <row r="1002" spans="1:1" ht="15.75" customHeight="1" x14ac:dyDescent="0.15"/>
    <row r="1003" spans="1:1" ht="15.75" customHeight="1" x14ac:dyDescent="0.15"/>
    <row r="1004" spans="1:1" ht="15.75" customHeight="1" x14ac:dyDescent="0.15"/>
    <row r="1005" spans="1:1" ht="15.75" customHeight="1" x14ac:dyDescent="0.15"/>
    <row r="1006" spans="1:1" ht="15.75" customHeight="1" x14ac:dyDescent="0.15"/>
    <row r="1007" spans="1:1" ht="15.75" customHeight="1" x14ac:dyDescent="0.15"/>
    <row r="1008" spans="1:1" ht="15.75" customHeight="1" x14ac:dyDescent="0.15"/>
    <row r="1009" spans="1:1" ht="15.75" customHeight="1" x14ac:dyDescent="0.15"/>
    <row r="1010" spans="1:1" ht="15.75" customHeight="1" x14ac:dyDescent="0.15"/>
    <row r="1011" spans="1:1" ht="15.75" customHeight="1" x14ac:dyDescent="0.15"/>
    <row r="1012" spans="1:1" ht="15.75" customHeight="1" x14ac:dyDescent="0.15"/>
    <row r="1013" spans="1:1" ht="15.75" customHeight="1" x14ac:dyDescent="0.15"/>
    <row r="1014" spans="1:1" ht="15.75" customHeight="1" x14ac:dyDescent="0.15"/>
    <row r="1015" spans="1:1" ht="15.75" customHeight="1" x14ac:dyDescent="0.15"/>
    <row r="1016" spans="1:1" ht="15.75" customHeight="1" x14ac:dyDescent="0.15"/>
    <row r="1017" spans="1:1" ht="15.75" customHeight="1" x14ac:dyDescent="0.15"/>
    <row r="1018" spans="1:1" ht="15.75" customHeight="1" x14ac:dyDescent="0.15"/>
    <row r="1019" spans="1:1" ht="15.75" customHeight="1" x14ac:dyDescent="0.15"/>
    <row r="1020" spans="1:1" ht="15.75" customHeight="1" x14ac:dyDescent="0.15"/>
    <row r="1021" spans="1:1" ht="15.75" customHeight="1" x14ac:dyDescent="0.15"/>
    <row r="1022" spans="1:1" ht="15.75" customHeight="1" x14ac:dyDescent="0.15"/>
    <row r="1023" spans="1:1" ht="15.75" customHeight="1" x14ac:dyDescent="0.15"/>
    <row r="1024" spans="1:1" ht="15.75" customHeight="1" x14ac:dyDescent="0.15"/>
    <row r="1025" spans="1:1" ht="15.75" customHeight="1" x14ac:dyDescent="0.15"/>
    <row r="1026" spans="1:1" ht="15.75" customHeight="1" x14ac:dyDescent="0.15"/>
    <row r="1027" spans="1:1" ht="15.75" customHeight="1" x14ac:dyDescent="0.15"/>
    <row r="1028" spans="1:1" ht="15.75" customHeight="1" x14ac:dyDescent="0.15"/>
    <row r="1029" spans="1:1" ht="15.75" customHeight="1" x14ac:dyDescent="0.15"/>
    <row r="1030" spans="1:1" ht="15.75" customHeight="1" x14ac:dyDescent="0.15"/>
    <row r="1031" spans="1:1" ht="15.75" customHeight="1" x14ac:dyDescent="0.15"/>
    <row r="1032" spans="1:1" ht="15.75" customHeight="1" x14ac:dyDescent="0.15"/>
    <row r="1033" spans="1:1" ht="15.75" customHeight="1" x14ac:dyDescent="0.15"/>
    <row r="1034" spans="1:1" ht="15.75" customHeight="1" x14ac:dyDescent="0.15"/>
    <row r="1035" spans="1:1" ht="15.75" customHeight="1" x14ac:dyDescent="0.15"/>
    <row r="1036" spans="1:1" ht="15.75" customHeight="1" x14ac:dyDescent="0.15"/>
    <row r="1037" spans="1:1" ht="15.75" customHeight="1" x14ac:dyDescent="0.15"/>
    <row r="1038" spans="1:1" ht="15.75" customHeight="1" x14ac:dyDescent="0.15"/>
    <row r="1039" spans="1:1" ht="15.75" customHeight="1" x14ac:dyDescent="0.15"/>
    <row r="1040" spans="1:1" ht="15.75" customHeight="1" x14ac:dyDescent="0.15"/>
    <row r="1041" spans="1:1" ht="15.75" customHeight="1" x14ac:dyDescent="0.15"/>
    <row r="1042" spans="1:1" ht="15.75" customHeight="1" x14ac:dyDescent="0.15"/>
    <row r="1043" spans="1:1" ht="15.75" customHeight="1" x14ac:dyDescent="0.15"/>
    <row r="1044" spans="1:1" ht="15.75" customHeight="1" x14ac:dyDescent="0.15"/>
    <row r="1045" spans="1:1" ht="15.75" customHeight="1" x14ac:dyDescent="0.15"/>
    <row r="1046" spans="1:1" ht="15.75" customHeight="1" x14ac:dyDescent="0.15"/>
    <row r="1047" spans="1:1" ht="15.75" customHeight="1" x14ac:dyDescent="0.15"/>
    <row r="1048" spans="1:1" ht="15.75" customHeight="1" x14ac:dyDescent="0.15"/>
    <row r="1049" spans="1:1" ht="15.75" customHeight="1" x14ac:dyDescent="0.15"/>
    <row r="1050" spans="1:1" ht="15.75" customHeight="1" x14ac:dyDescent="0.15"/>
    <row r="1051" spans="1:1" ht="15.75" customHeight="1" x14ac:dyDescent="0.15"/>
    <row r="1052" spans="1:1" ht="15.75" customHeight="1" x14ac:dyDescent="0.15"/>
    <row r="1053" spans="1:1" ht="15.75" customHeight="1" x14ac:dyDescent="0.15"/>
    <row r="1054" spans="1:1" ht="15.75" customHeight="1" x14ac:dyDescent="0.15"/>
    <row r="1055" spans="1:1" ht="15.75" customHeight="1" x14ac:dyDescent="0.15"/>
    <row r="1056" spans="1:1" ht="15.75" customHeight="1" x14ac:dyDescent="0.15"/>
    <row r="1057" spans="1:1" ht="15.75" customHeight="1" x14ac:dyDescent="0.15"/>
    <row r="1058" spans="1:1" ht="15.75" customHeight="1" x14ac:dyDescent="0.15"/>
    <row r="1059" spans="1:1" ht="15.75" customHeight="1" x14ac:dyDescent="0.15"/>
    <row r="1060" spans="1:1" ht="15.75" customHeight="1" x14ac:dyDescent="0.15"/>
    <row r="1061" spans="1:1" ht="15.75" customHeight="1" x14ac:dyDescent="0.15"/>
    <row r="1062" spans="1:1" ht="15.75" customHeight="1" x14ac:dyDescent="0.15"/>
    <row r="1063" spans="1:1" ht="15.75" customHeight="1" x14ac:dyDescent="0.15"/>
    <row r="1064" spans="1:1" ht="15.75" customHeight="1" x14ac:dyDescent="0.15"/>
    <row r="1065" spans="1:1" ht="15.75" customHeight="1" x14ac:dyDescent="0.15"/>
    <row r="1066" spans="1:1" ht="15.75" customHeight="1" x14ac:dyDescent="0.15"/>
    <row r="1067" spans="1:1" ht="15.75" customHeight="1" x14ac:dyDescent="0.15"/>
    <row r="1068" spans="1:1" ht="15.75" customHeight="1" x14ac:dyDescent="0.15"/>
    <row r="1069" spans="1:1" ht="15.75" customHeight="1" x14ac:dyDescent="0.15"/>
    <row r="1070" spans="1:1" ht="15.75" customHeight="1" x14ac:dyDescent="0.15"/>
    <row r="1071" spans="1:1" ht="15.75" customHeight="1" x14ac:dyDescent="0.15"/>
    <row r="1072" spans="1:1" ht="15.75" customHeight="1" x14ac:dyDescent="0.15"/>
    <row r="1073" spans="1:1" ht="15.75" customHeight="1" x14ac:dyDescent="0.15"/>
    <row r="1074" spans="1:1" ht="15.75" customHeight="1" x14ac:dyDescent="0.15"/>
    <row r="1075" spans="1:1" ht="15.75" customHeight="1" x14ac:dyDescent="0.15"/>
    <row r="1076" spans="1:1" ht="15.75" customHeight="1" x14ac:dyDescent="0.15"/>
    <row r="1077" spans="1:1" ht="15.75" customHeight="1" x14ac:dyDescent="0.15"/>
    <row r="1078" spans="1:1" ht="15.75" customHeight="1" x14ac:dyDescent="0.15"/>
    <row r="1079" spans="1:1" ht="15.75" customHeight="1" x14ac:dyDescent="0.15"/>
    <row r="1080" spans="1:1" ht="15.75" customHeight="1" x14ac:dyDescent="0.15"/>
    <row r="1081" spans="1:1" ht="15.75" customHeight="1" x14ac:dyDescent="0.15"/>
    <row r="1082" spans="1:1" ht="15.75" customHeight="1" x14ac:dyDescent="0.15"/>
    <row r="1083" spans="1:1" ht="15.75" customHeight="1" x14ac:dyDescent="0.15"/>
    <row r="1084" spans="1:1" ht="15.75" customHeight="1" x14ac:dyDescent="0.15"/>
    <row r="1085" spans="1:1" ht="15.75" customHeight="1" x14ac:dyDescent="0.15"/>
    <row r="1086" spans="1:1" ht="15.75" customHeight="1" x14ac:dyDescent="0.15"/>
    <row r="1087" spans="1:1" ht="15.75" customHeight="1" x14ac:dyDescent="0.15"/>
    <row r="1088" spans="1:1" ht="15.75" customHeight="1" x14ac:dyDescent="0.15"/>
    <row r="1089" spans="1:1" ht="15.75" customHeight="1" x14ac:dyDescent="0.15"/>
    <row r="1090" spans="1:1" ht="15.75" customHeight="1" x14ac:dyDescent="0.15"/>
    <row r="1091" spans="1:1" ht="15.75" customHeight="1" x14ac:dyDescent="0.15"/>
    <row r="1092" spans="1:1" ht="15.75" customHeight="1" x14ac:dyDescent="0.15"/>
    <row r="1093" spans="1:1" ht="15.75" customHeight="1" x14ac:dyDescent="0.15"/>
    <row r="1094" spans="1:1" ht="15.75" customHeight="1" x14ac:dyDescent="0.15"/>
    <row r="1095" spans="1:1" ht="15.75" customHeight="1" x14ac:dyDescent="0.15"/>
    <row r="1096" spans="1:1" ht="15.75" customHeight="1" x14ac:dyDescent="0.15"/>
    <row r="1097" spans="1:1" ht="15.75" customHeight="1" x14ac:dyDescent="0.15"/>
    <row r="1098" spans="1:1" ht="15.75" customHeight="1" x14ac:dyDescent="0.15"/>
    <row r="1099" spans="1:1" ht="15.75" customHeight="1" x14ac:dyDescent="0.15"/>
    <row r="1100" spans="1:1" ht="15.75" customHeight="1" x14ac:dyDescent="0.15"/>
    <row r="1101" spans="1:1" ht="15.75" customHeight="1" x14ac:dyDescent="0.15"/>
    <row r="1102" spans="1:1" ht="15.75" customHeight="1" x14ac:dyDescent="0.15"/>
    <row r="1103" spans="1:1" ht="15.75" customHeight="1" x14ac:dyDescent="0.15"/>
    <row r="1104" spans="1:1" ht="15.75" customHeight="1" x14ac:dyDescent="0.15"/>
    <row r="1105" spans="1:1" ht="15.75" customHeight="1" x14ac:dyDescent="0.15"/>
    <row r="1106" spans="1:1" ht="15.75" customHeight="1" x14ac:dyDescent="0.15"/>
    <row r="1107" spans="1:1" ht="15.75" customHeight="1" x14ac:dyDescent="0.15"/>
    <row r="1108" spans="1:1" ht="15.75" customHeight="1" x14ac:dyDescent="0.15"/>
    <row r="1109" spans="1:1" ht="15.75" customHeight="1" x14ac:dyDescent="0.15"/>
    <row r="1110" spans="1:1" ht="15.75" customHeight="1" x14ac:dyDescent="0.15"/>
    <row r="1111" spans="1:1" ht="15.75" customHeight="1" x14ac:dyDescent="0.15"/>
    <row r="1112" spans="1:1" ht="15.75" customHeight="1" x14ac:dyDescent="0.15"/>
    <row r="1113" spans="1:1" ht="15.75" customHeight="1" x14ac:dyDescent="0.15"/>
    <row r="1114" spans="1:1" ht="15.75" customHeight="1" x14ac:dyDescent="0.15"/>
    <row r="1115" spans="1:1" ht="15.75" customHeight="1" x14ac:dyDescent="0.15"/>
    <row r="1116" spans="1:1" ht="15.75" customHeight="1" x14ac:dyDescent="0.15"/>
    <row r="1117" spans="1:1" ht="15.75" customHeight="1" x14ac:dyDescent="0.15"/>
    <row r="1118" spans="1:1" ht="15.75" customHeight="1" x14ac:dyDescent="0.15"/>
    <row r="1119" spans="1:1" ht="15.75" customHeight="1" x14ac:dyDescent="0.15"/>
    <row r="1120" spans="1:1" ht="15.75" customHeight="1" x14ac:dyDescent="0.15"/>
    <row r="1121" spans="1:1" ht="15.75" customHeight="1" x14ac:dyDescent="0.15"/>
    <row r="1122" spans="1:1" ht="15.75" customHeight="1" x14ac:dyDescent="0.15"/>
    <row r="1123" spans="1:1" ht="15.75" customHeight="1" x14ac:dyDescent="0.15"/>
    <row r="1124" spans="1:1" ht="15.75" customHeight="1" x14ac:dyDescent="0.15"/>
    <row r="1125" spans="1:1" ht="15.75" customHeight="1" x14ac:dyDescent="0.15"/>
    <row r="1126" spans="1:1" ht="15.75" customHeight="1" x14ac:dyDescent="0.15"/>
    <row r="1127" spans="1:1" ht="15.75" customHeight="1" x14ac:dyDescent="0.15"/>
    <row r="1128" spans="1:1" ht="15.75" customHeight="1" x14ac:dyDescent="0.15"/>
    <row r="1129" spans="1:1" ht="15.75" customHeight="1" x14ac:dyDescent="0.15"/>
    <row r="1130" spans="1:1" ht="15.75" customHeight="1" x14ac:dyDescent="0.15"/>
    <row r="1131" spans="1:1" ht="15.75" customHeight="1" x14ac:dyDescent="0.15"/>
    <row r="1132" spans="1:1" ht="15.75" customHeight="1" x14ac:dyDescent="0.15"/>
    <row r="1133" spans="1:1" ht="15.75" customHeight="1" x14ac:dyDescent="0.15"/>
    <row r="1134" spans="1:1" ht="15.75" customHeight="1" x14ac:dyDescent="0.15"/>
    <row r="1135" spans="1:1" ht="15.75" customHeight="1" x14ac:dyDescent="0.15"/>
    <row r="1136" spans="1:1" ht="15.75" customHeight="1" x14ac:dyDescent="0.15"/>
    <row r="1137" spans="1:1" ht="15.75" customHeight="1" x14ac:dyDescent="0.15"/>
    <row r="1138" spans="1:1" ht="15.75" customHeight="1" x14ac:dyDescent="0.15"/>
    <row r="1139" spans="1:1" ht="15.75" customHeight="1" x14ac:dyDescent="0.15"/>
    <row r="1140" spans="1:1" ht="15.75" customHeight="1" x14ac:dyDescent="0.15"/>
    <row r="1141" spans="1:1" ht="15.75" customHeight="1" x14ac:dyDescent="0.15"/>
    <row r="1142" spans="1:1" ht="15.75" customHeight="1" x14ac:dyDescent="0.15"/>
    <row r="1143" spans="1:1" ht="15.75" customHeight="1" x14ac:dyDescent="0.15"/>
    <row r="1144" spans="1:1" ht="15.75" customHeight="1" x14ac:dyDescent="0.15"/>
    <row r="1145" spans="1:1" ht="15.75" customHeight="1" x14ac:dyDescent="0.15"/>
    <row r="1146" spans="1:1" ht="15.75" customHeight="1" x14ac:dyDescent="0.15"/>
    <row r="1147" spans="1:1" ht="15.75" customHeight="1" x14ac:dyDescent="0.15"/>
    <row r="1148" spans="1:1" ht="15.75" customHeight="1" x14ac:dyDescent="0.15"/>
    <row r="1149" spans="1:1" ht="15.75" customHeight="1" x14ac:dyDescent="0.15"/>
    <row r="1150" spans="1:1" ht="15.75" customHeight="1" x14ac:dyDescent="0.15"/>
    <row r="1151" spans="1:1" ht="15.75" customHeight="1" x14ac:dyDescent="0.15"/>
    <row r="1152" spans="1:1" ht="15.75" customHeight="1" x14ac:dyDescent="0.15"/>
    <row r="1153" spans="1:1" ht="15.75" customHeight="1" x14ac:dyDescent="0.15"/>
    <row r="1154" spans="1:1" ht="15.75" customHeight="1" x14ac:dyDescent="0.15"/>
    <row r="1155" spans="1:1" ht="15.75" customHeight="1" x14ac:dyDescent="0.15"/>
    <row r="1156" spans="1:1" ht="15.75" customHeight="1" x14ac:dyDescent="0.15"/>
    <row r="1157" spans="1:1" ht="15.75" customHeight="1" x14ac:dyDescent="0.15"/>
    <row r="1158" spans="1:1" ht="15.75" customHeight="1" x14ac:dyDescent="0.15"/>
    <row r="1159" spans="1:1" ht="15.75" customHeight="1" x14ac:dyDescent="0.15"/>
    <row r="1160" spans="1:1" ht="15.75" customHeight="1" x14ac:dyDescent="0.15"/>
    <row r="1161" spans="1:1" ht="15.75" customHeight="1" x14ac:dyDescent="0.15"/>
    <row r="1162" spans="1:1" ht="15.75" customHeight="1" x14ac:dyDescent="0.15"/>
    <row r="1163" spans="1:1" ht="15.75" customHeight="1" x14ac:dyDescent="0.15"/>
    <row r="1164" spans="1:1" ht="15.75" customHeight="1" x14ac:dyDescent="0.15"/>
    <row r="1165" spans="1:1" ht="15.75" customHeight="1" x14ac:dyDescent="0.15"/>
    <row r="1166" spans="1:1" ht="15.75" customHeight="1" x14ac:dyDescent="0.15"/>
    <row r="1167" spans="1:1" ht="15.75" customHeight="1" x14ac:dyDescent="0.15"/>
    <row r="1168" spans="1:1" ht="15.75" customHeight="1" x14ac:dyDescent="0.15"/>
    <row r="1169" spans="1:1" ht="15.75" customHeight="1" x14ac:dyDescent="0.15"/>
    <row r="1170" spans="1:1" ht="15.75" customHeight="1" x14ac:dyDescent="0.15"/>
    <row r="1171" spans="1:1" ht="15.75" customHeight="1" x14ac:dyDescent="0.15"/>
    <row r="1172" spans="1:1" ht="15.75" customHeight="1" x14ac:dyDescent="0.15"/>
  </sheetData>
  <autoFilter ref="A1:X1172"/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X2156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" width="12.571428571428571" customWidth="1"/>
    <col min="2" max="2" width="28.142857142857142" customWidth="1"/>
    <col min="3" max="3" width="12.571428571428571" customWidth="1"/>
    <col min="4" max="4" width="23.428571428571427" customWidth="1"/>
    <col min="5" max="5" width="32.57142857142857" customWidth="1"/>
    <col min="6" max="6" width="15.714285714285714" customWidth="1"/>
    <col min="7" max="7" width="12.571428571428571" customWidth="1"/>
    <col min="8" max="8" width="16.142857142857142" customWidth="1"/>
    <col min="9" max="9" width="18.857142857142858" customWidth="1"/>
    <col min="10" max="24" width="12.571428571428571" customWidth="1"/>
  </cols>
  <sheetData>
    <row r="1" spans="1:10" ht="15.75" customHeight="1" x14ac:dyDescent="0.15">
      <c r="A1" s="2" t="s">
        <v>0</v>
      </c>
      <c r="B1" s="3" t="s">
        <v>1</v>
      </c>
      <c r="C1" s="3" t="s">
        <v>2</v>
      </c>
      <c r="D1" s="3" t="s">
        <v>31</v>
      </c>
      <c r="E1" s="3" t="s">
        <v>32</v>
      </c>
      <c r="F1" s="3" t="s">
        <v>4</v>
      </c>
      <c r="G1" s="3" t="s">
        <v>5</v>
      </c>
      <c r="H1" s="2" t="s">
        <v>6</v>
      </c>
      <c r="I1" s="2" t="s">
        <v>33</v>
      </c>
      <c r="J1" s="4" t="s">
        <v>8</v>
      </c>
    </row>
    <row r="2" spans="1:10" ht="15.75" customHeight="1" x14ac:dyDescent="0.15">
      <c r="A2" s="5">
        <v>46040.60611111111</v>
      </c>
      <c r="B2" s="3" t="s">
        <v>417</v>
      </c>
      <c r="C2" s="3" t="s">
        <v>45</v>
      </c>
      <c r="D2" s="3" t="s">
        <v>46</v>
      </c>
      <c r="E2" s="3" t="s">
        <v>418</v>
      </c>
      <c r="F2" s="3" t="s">
        <v>419</v>
      </c>
      <c r="G2" s="3" t="s">
        <v>420</v>
      </c>
      <c r="H2" s="2">
        <v>7.503969654E9</v>
      </c>
      <c r="I2" s="2">
        <v>7.503969654E9</v>
      </c>
      <c r="J2" s="4" t="s">
        <v>100</v>
      </c>
    </row>
    <row r="3" spans="1:10" ht="15.75" customHeight="1" x14ac:dyDescent="0.15">
      <c r="A3" s="5">
        <v>46040.60325231482</v>
      </c>
      <c r="B3" s="3" t="s">
        <v>417</v>
      </c>
      <c r="C3" s="3" t="s">
        <v>45</v>
      </c>
      <c r="D3" s="3" t="s">
        <v>421</v>
      </c>
      <c r="E3" s="3" t="s">
        <v>418</v>
      </c>
      <c r="F3" s="3" t="s">
        <v>422</v>
      </c>
      <c r="G3" s="3" t="s">
        <v>423</v>
      </c>
      <c r="H3" s="2">
        <v>7.857183312E9</v>
      </c>
      <c r="I3" s="2">
        <v>7.857183312E9</v>
      </c>
      <c r="J3" s="4" t="s">
        <v>100</v>
      </c>
    </row>
    <row r="4" spans="1:10" ht="15.75" customHeight="1" x14ac:dyDescent="0.15">
      <c r="A4" s="5">
        <v>46040.7334837963</v>
      </c>
      <c r="B4" s="3" t="s">
        <v>417</v>
      </c>
      <c r="C4" s="3" t="s">
        <v>45</v>
      </c>
      <c r="D4" s="3" t="s">
        <v>46</v>
      </c>
      <c r="E4" s="3" t="s">
        <v>47</v>
      </c>
      <c r="F4" s="3" t="s">
        <v>424</v>
      </c>
      <c r="G4" s="3" t="s">
        <v>425</v>
      </c>
      <c r="H4" s="2">
        <v>4.47474957998E11</v>
      </c>
      <c r="I4" s="2">
        <v>1.560322546E9</v>
      </c>
      <c r="J4" s="4" t="s">
        <v>100</v>
      </c>
    </row>
    <row r="5" spans="1:10" ht="15.75" customHeight="1" x14ac:dyDescent="0.15">
      <c r="A5" s="5">
        <v>46040.743784722225</v>
      </c>
      <c r="B5" s="3" t="s">
        <v>417</v>
      </c>
      <c r="C5" s="3" t="s">
        <v>45</v>
      </c>
      <c r="D5" s="3" t="s">
        <v>46</v>
      </c>
      <c r="E5" s="3" t="s">
        <v>47</v>
      </c>
      <c r="F5" s="3" t="s">
        <v>426</v>
      </c>
      <c r="G5" s="3" t="s">
        <v>427</v>
      </c>
      <c r="H5" s="2">
        <v>4.47546456503E11</v>
      </c>
      <c r="I5" s="2">
        <v>4.47546456503E11</v>
      </c>
      <c r="J5" s="4" t="s">
        <v>100</v>
      </c>
    </row>
    <row r="6" spans="1:10" ht="15.75" customHeight="1" x14ac:dyDescent="0.15">
      <c r="A6" s="5">
        <v>46041.66292824074</v>
      </c>
      <c r="B6" s="3" t="s">
        <v>417</v>
      </c>
      <c r="C6" s="3" t="s">
        <v>15</v>
      </c>
      <c r="D6" s="3" t="s">
        <v>46</v>
      </c>
      <c r="E6" s="3" t="s">
        <v>47</v>
      </c>
      <c r="F6" s="3" t="s">
        <v>428</v>
      </c>
      <c r="G6" s="3" t="s">
        <v>429</v>
      </c>
      <c r="H6" s="2">
        <v>4.47737750464E11</v>
      </c>
      <c r="I6" s="2">
        <v>4.47737750464E11</v>
      </c>
      <c r="J6" s="4" t="s">
        <v>100</v>
      </c>
    </row>
    <row r="7" spans="1:10" ht="15.75" customHeight="1" x14ac:dyDescent="0.15">
      <c r="A7" s="5">
        <v>46041.80972222222</v>
      </c>
      <c r="B7" s="3" t="s">
        <v>417</v>
      </c>
      <c r="C7" s="3" t="s">
        <v>15</v>
      </c>
      <c r="D7" s="3" t="s">
        <v>421</v>
      </c>
      <c r="E7" s="3" t="s">
        <v>51</v>
      </c>
      <c r="F7" s="3" t="s">
        <v>430</v>
      </c>
      <c r="G7" s="3" t="s">
        <v>431</v>
      </c>
      <c r="H7" s="2">
        <v>4.47838286355E11</v>
      </c>
      <c r="I7" s="2">
        <v>4.47838286355E11</v>
      </c>
      <c r="J7" s="4" t="s">
        <v>100</v>
      </c>
    </row>
    <row r="8" spans="1:10" ht="15.75" customHeight="1" x14ac:dyDescent="0.15">
      <c r="A8" s="5">
        <v>46042.05365740741</v>
      </c>
      <c r="B8" s="3" t="s">
        <v>417</v>
      </c>
      <c r="C8" s="3" t="s">
        <v>15</v>
      </c>
      <c r="D8" s="3" t="s">
        <v>40</v>
      </c>
      <c r="E8" s="3" t="s">
        <v>41</v>
      </c>
      <c r="F8" s="3" t="s">
        <v>432</v>
      </c>
      <c r="G8" s="3" t="s">
        <v>433</v>
      </c>
      <c r="H8" s="2">
        <v>4.47904055856E11</v>
      </c>
      <c r="I8" s="2">
        <v>4.47904055853E11</v>
      </c>
      <c r="J8" s="4" t="s">
        <v>434</v>
      </c>
    </row>
    <row r="9" spans="1:10" ht="15.75" customHeight="1" x14ac:dyDescent="0.15">
      <c r="A9" s="5">
        <v>46042.345138888886</v>
      </c>
      <c r="B9" s="3" t="s">
        <v>417</v>
      </c>
      <c r="C9" s="3" t="s">
        <v>45</v>
      </c>
      <c r="D9" s="3" t="s">
        <v>40</v>
      </c>
      <c r="E9" s="3" t="s">
        <v>51</v>
      </c>
      <c r="F9" s="3" t="s">
        <v>435</v>
      </c>
      <c r="G9" s="3" t="s">
        <v>436</v>
      </c>
      <c r="H9" s="2">
        <v>4.47950348847E11</v>
      </c>
      <c r="I9" s="2" t="s">
        <v>437</v>
      </c>
      <c r="J9" s="4" t="s">
        <v>100</v>
      </c>
    </row>
    <row r="10" spans="1:24" ht="15.75" customHeight="1" x14ac:dyDescent="0.15">
      <c r="A10" s="12">
        <v>46042.48585648148</v>
      </c>
      <c r="B10" s="13" t="s">
        <v>417</v>
      </c>
      <c r="C10" s="13" t="s">
        <v>45</v>
      </c>
      <c r="D10" s="13" t="s">
        <v>40</v>
      </c>
      <c r="E10" s="13" t="s">
        <v>47</v>
      </c>
      <c r="F10" s="13" t="s">
        <v>438</v>
      </c>
      <c r="G10" s="13" t="s">
        <v>439</v>
      </c>
      <c r="H10" s="14">
        <v>4.47846538667E11</v>
      </c>
      <c r="I10" s="14">
        <v>7.846538667E9</v>
      </c>
      <c r="J10" s="15" t="s">
        <v>100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10" ht="15.75" customHeight="1" x14ac:dyDescent="0.15">
      <c r="A11" s="5">
        <v>46042.589467592596</v>
      </c>
      <c r="B11" s="3" t="s">
        <v>417</v>
      </c>
      <c r="C11" s="3" t="s">
        <v>15</v>
      </c>
      <c r="D11" s="3" t="s">
        <v>50</v>
      </c>
      <c r="E11" s="3" t="s">
        <v>41</v>
      </c>
      <c r="F11" s="3" t="s">
        <v>440</v>
      </c>
      <c r="G11" s="3" t="s">
        <v>441</v>
      </c>
      <c r="H11" s="2">
        <v>4.47587694385E11</v>
      </c>
      <c r="I11" s="2">
        <v>4.4777039118E11</v>
      </c>
      <c r="J11" s="4" t="s">
        <v>100</v>
      </c>
    </row>
    <row r="12" spans="1:10" ht="15.75" customHeight="1" x14ac:dyDescent="0.15">
      <c r="A12" s="5">
        <v>46044.057222222225</v>
      </c>
      <c r="B12" s="3" t="s">
        <v>417</v>
      </c>
      <c r="C12" s="3" t="s">
        <v>45</v>
      </c>
      <c r="D12" s="3" t="s">
        <v>46</v>
      </c>
      <c r="E12" s="3" t="s">
        <v>47</v>
      </c>
      <c r="F12" s="3" t="s">
        <v>442</v>
      </c>
      <c r="G12" s="3" t="s">
        <v>443</v>
      </c>
      <c r="H12" s="2">
        <v>4.47836346704E11</v>
      </c>
      <c r="I12" s="2">
        <v>7.8363467084E10</v>
      </c>
      <c r="J12" s="4" t="s">
        <v>89</v>
      </c>
    </row>
    <row r="13" spans="1:10" ht="15.75" customHeight="1" x14ac:dyDescent="0.15">
      <c r="A13" s="5">
        <v>46044.30266203704</v>
      </c>
      <c r="B13" s="3" t="s">
        <v>417</v>
      </c>
      <c r="C13" s="3" t="s">
        <v>45</v>
      </c>
      <c r="D13" s="3" t="s">
        <v>50</v>
      </c>
      <c r="E13" s="3" t="s">
        <v>47</v>
      </c>
      <c r="F13" s="3" t="s">
        <v>444</v>
      </c>
      <c r="G13" s="3" t="s">
        <v>445</v>
      </c>
      <c r="H13" s="2">
        <v>4.47493651189E11</v>
      </c>
      <c r="I13" s="2">
        <v>4.47493651189E11</v>
      </c>
      <c r="J13" s="4" t="s">
        <v>100</v>
      </c>
    </row>
    <row r="14" spans="1:10" ht="15.75" customHeight="1" x14ac:dyDescent="0.15">
      <c r="A14" s="5">
        <v>46044.33773148148</v>
      </c>
      <c r="B14" s="3" t="s">
        <v>417</v>
      </c>
      <c r="C14" s="3" t="s">
        <v>45</v>
      </c>
      <c r="D14" s="3" t="s">
        <v>40</v>
      </c>
      <c r="E14" s="3" t="s">
        <v>446</v>
      </c>
      <c r="F14" s="3" t="s">
        <v>447</v>
      </c>
      <c r="G14" s="3" t="s">
        <v>448</v>
      </c>
      <c r="H14" s="2">
        <v>4.47477246546E11</v>
      </c>
      <c r="I14" s="2">
        <v>7.488917665E9</v>
      </c>
      <c r="J14" s="4" t="s">
        <v>449</v>
      </c>
    </row>
    <row r="15" spans="1:10" ht="15.75" customHeight="1" x14ac:dyDescent="0.15">
      <c r="A15" s="5">
        <v>46044.36109953704</v>
      </c>
      <c r="B15" s="3" t="s">
        <v>417</v>
      </c>
      <c r="C15" s="3" t="s">
        <v>15</v>
      </c>
      <c r="D15" s="3" t="s">
        <v>50</v>
      </c>
      <c r="E15" s="3" t="s">
        <v>446</v>
      </c>
      <c r="F15" s="3" t="s">
        <v>450</v>
      </c>
      <c r="G15" s="3" t="s">
        <v>451</v>
      </c>
      <c r="H15" s="2">
        <v>4.47939902355E11</v>
      </c>
      <c r="I15" s="2">
        <v>4.42033011012E11</v>
      </c>
      <c r="J15" s="4" t="s">
        <v>100</v>
      </c>
    </row>
    <row r="16" spans="1:10" ht="15.75" customHeight="1" x14ac:dyDescent="0.15">
      <c r="A16" s="5">
        <v>46044.70444444445</v>
      </c>
      <c r="B16" s="3" t="s">
        <v>417</v>
      </c>
      <c r="C16" s="3" t="s">
        <v>15</v>
      </c>
      <c r="D16" s="3" t="s">
        <v>40</v>
      </c>
      <c r="E16" s="3" t="s">
        <v>51</v>
      </c>
      <c r="F16" s="3" t="s">
        <v>452</v>
      </c>
      <c r="G16" s="3" t="s">
        <v>453</v>
      </c>
      <c r="H16" s="2">
        <v>9.19920661714E11</v>
      </c>
      <c r="I16" s="2">
        <v>4.47469539154E11</v>
      </c>
      <c r="J16" s="4" t="s">
        <v>54</v>
      </c>
    </row>
    <row r="17" spans="1:10" ht="15.75" customHeight="1" x14ac:dyDescent="0.15">
      <c r="A17" s="5">
        <v>46044.87427083333</v>
      </c>
      <c r="B17" s="3" t="s">
        <v>417</v>
      </c>
      <c r="C17" s="3" t="s">
        <v>15</v>
      </c>
      <c r="D17" s="3" t="s">
        <v>40</v>
      </c>
      <c r="E17" s="3" t="s">
        <v>446</v>
      </c>
      <c r="F17" s="3" t="s">
        <v>454</v>
      </c>
      <c r="G17" s="3" t="s">
        <v>455</v>
      </c>
      <c r="H17" s="2">
        <v>4.4777233121E11</v>
      </c>
      <c r="I17" s="2">
        <v>4.4777233121E11</v>
      </c>
      <c r="J17" s="4" t="s">
        <v>100</v>
      </c>
    </row>
    <row r="18" spans="1:10" ht="15.75" customHeight="1" x14ac:dyDescent="0.15">
      <c r="A18" s="5">
        <v>46045.678148148145</v>
      </c>
      <c r="B18" s="3" t="s">
        <v>417</v>
      </c>
      <c r="C18" s="3" t="s">
        <v>45</v>
      </c>
      <c r="D18" s="3" t="s">
        <v>421</v>
      </c>
      <c r="E18" s="3" t="s">
        <v>446</v>
      </c>
      <c r="F18" s="3" t="s">
        <v>456</v>
      </c>
      <c r="G18" s="3" t="s">
        <v>457</v>
      </c>
      <c r="H18" s="2">
        <v>4.47817877686E11</v>
      </c>
      <c r="I18" s="2">
        <v>7.817877686E9</v>
      </c>
      <c r="J18" s="4" t="s">
        <v>100</v>
      </c>
    </row>
    <row r="19" spans="1:10" ht="15.75" customHeight="1" x14ac:dyDescent="0.15">
      <c r="A19" s="5">
        <v>46045.76170138889</v>
      </c>
      <c r="B19" s="3" t="s">
        <v>417</v>
      </c>
      <c r="C19" s="3" t="s">
        <v>45</v>
      </c>
      <c r="D19" s="3" t="s">
        <v>46</v>
      </c>
      <c r="E19" s="3" t="s">
        <v>418</v>
      </c>
      <c r="F19" s="3" t="s">
        <v>458</v>
      </c>
      <c r="G19" s="3" t="s">
        <v>459</v>
      </c>
      <c r="H19" s="2">
        <v>4.47738182566E11</v>
      </c>
      <c r="I19" s="2">
        <v>7.738182566E9</v>
      </c>
      <c r="J19" s="4" t="s">
        <v>100</v>
      </c>
    </row>
    <row r="20" spans="1:10" ht="15.75" customHeight="1" x14ac:dyDescent="0.15">
      <c r="A20" s="5">
        <v>46045.924675925926</v>
      </c>
      <c r="B20" s="3" t="s">
        <v>417</v>
      </c>
      <c r="C20" s="3" t="s">
        <v>45</v>
      </c>
      <c r="D20" s="3" t="s">
        <v>460</v>
      </c>
      <c r="E20" s="3" t="s">
        <v>418</v>
      </c>
      <c r="F20" s="3" t="s">
        <v>461</v>
      </c>
      <c r="G20" s="3" t="s">
        <v>462</v>
      </c>
      <c r="H20" s="2">
        <v>4.47400294435E11</v>
      </c>
      <c r="I20" s="2">
        <v>2.0</v>
      </c>
      <c r="J20" s="4" t="s">
        <v>100</v>
      </c>
    </row>
    <row r="21" spans="1:10" ht="15.75" customHeight="1" x14ac:dyDescent="0.15">
      <c r="A21" s="5">
        <v>46046.00203703704</v>
      </c>
      <c r="B21" s="3" t="s">
        <v>417</v>
      </c>
      <c r="C21" s="3" t="s">
        <v>15</v>
      </c>
      <c r="D21" s="3" t="s">
        <v>46</v>
      </c>
      <c r="E21" s="3" t="s">
        <v>51</v>
      </c>
      <c r="F21" s="3" t="s">
        <v>463</v>
      </c>
      <c r="G21" s="3" t="s">
        <v>464</v>
      </c>
      <c r="H21" s="2">
        <v>4.47777559798E11</v>
      </c>
      <c r="I21" s="2">
        <v>4.47777559798E11</v>
      </c>
      <c r="J21" s="4" t="s">
        <v>89</v>
      </c>
    </row>
    <row r="22" spans="1:10" ht="15.75" customHeight="1" x14ac:dyDescent="0.15">
      <c r="A22" s="5">
        <v>46046.01181712963</v>
      </c>
      <c r="B22" s="3" t="s">
        <v>417</v>
      </c>
      <c r="C22" s="3" t="s">
        <v>15</v>
      </c>
      <c r="D22" s="3" t="s">
        <v>50</v>
      </c>
      <c r="E22" s="3" t="s">
        <v>418</v>
      </c>
      <c r="F22" s="3" t="s">
        <v>465</v>
      </c>
      <c r="G22" s="3" t="s">
        <v>466</v>
      </c>
      <c r="H22" s="2">
        <v>4.47556688919E11</v>
      </c>
      <c r="I22" s="2">
        <v>4.47556688919E11</v>
      </c>
      <c r="J22" s="4" t="s">
        <v>100</v>
      </c>
    </row>
    <row r="23" spans="1:10" ht="15.75" customHeight="1" x14ac:dyDescent="0.15">
      <c r="A23" s="5">
        <v>46046.01679398148</v>
      </c>
      <c r="B23" s="3" t="s">
        <v>417</v>
      </c>
      <c r="C23" s="3" t="s">
        <v>15</v>
      </c>
      <c r="D23" s="3" t="s">
        <v>50</v>
      </c>
      <c r="E23" s="3" t="s">
        <v>47</v>
      </c>
      <c r="F23" s="3" t="s">
        <v>467</v>
      </c>
      <c r="G23" s="3" t="s">
        <v>468</v>
      </c>
      <c r="H23" s="2">
        <v>4.47897743346E11</v>
      </c>
      <c r="I23" s="2">
        <v>4.47897743346E11</v>
      </c>
      <c r="J23" s="4" t="s">
        <v>89</v>
      </c>
    </row>
    <row r="24" spans="1:10" ht="15.75" customHeight="1" x14ac:dyDescent="0.15">
      <c r="A24" s="5">
        <v>46046.32368055556</v>
      </c>
      <c r="B24" s="3" t="s">
        <v>417</v>
      </c>
      <c r="C24" s="3" t="s">
        <v>45</v>
      </c>
      <c r="D24" s="3" t="s">
        <v>40</v>
      </c>
      <c r="E24" s="3" t="s">
        <v>47</v>
      </c>
      <c r="F24" s="3" t="s">
        <v>469</v>
      </c>
      <c r="G24" s="3" t="s">
        <v>470</v>
      </c>
      <c r="H24" s="2">
        <v>4.47731925374E11</v>
      </c>
      <c r="I24" s="2">
        <v>4.47731925374E11</v>
      </c>
      <c r="J24" s="4" t="s">
        <v>100</v>
      </c>
    </row>
    <row r="25" spans="1:10" ht="15.75" customHeight="1" x14ac:dyDescent="0.15">
      <c r="A25" s="5">
        <v>46046.74180555555</v>
      </c>
      <c r="B25" s="3" t="s">
        <v>417</v>
      </c>
      <c r="C25" s="3" t="s">
        <v>15</v>
      </c>
      <c r="D25" s="3" t="s">
        <v>421</v>
      </c>
      <c r="E25" s="3" t="s">
        <v>41</v>
      </c>
      <c r="F25" s="3" t="s">
        <v>471</v>
      </c>
      <c r="G25" s="3" t="s">
        <v>472</v>
      </c>
      <c r="H25" s="2">
        <v>4.4773706924E11</v>
      </c>
      <c r="I25" s="2">
        <v>4.4773706924E11</v>
      </c>
      <c r="J25" s="4" t="s">
        <v>100</v>
      </c>
    </row>
    <row r="26" spans="1:10" ht="15.75" customHeight="1" x14ac:dyDescent="0.15">
      <c r="A26" s="5">
        <v>46046.79090277778</v>
      </c>
      <c r="B26" s="3" t="s">
        <v>417</v>
      </c>
      <c r="C26" s="3" t="s">
        <v>45</v>
      </c>
      <c r="D26" s="3" t="s">
        <v>50</v>
      </c>
      <c r="E26" s="3" t="s">
        <v>41</v>
      </c>
      <c r="F26" s="3" t="s">
        <v>473</v>
      </c>
      <c r="G26" s="3" t="s">
        <v>474</v>
      </c>
      <c r="H26" s="2">
        <v>4.47306587999E11</v>
      </c>
      <c r="I26" s="2">
        <v>4.47306587999E11</v>
      </c>
      <c r="J26" s="4" t="s">
        <v>100</v>
      </c>
    </row>
    <row r="27" spans="1:11" ht="15.75" customHeight="1" x14ac:dyDescent="0.15">
      <c r="A27" s="5">
        <v>46046.90589120371</v>
      </c>
      <c r="B27" s="3" t="s">
        <v>417</v>
      </c>
      <c r="C27" s="3" t="s">
        <v>45</v>
      </c>
      <c r="D27" s="3" t="s">
        <v>40</v>
      </c>
      <c r="E27" s="3" t="s">
        <v>446</v>
      </c>
      <c r="F27" s="3" t="s">
        <v>475</v>
      </c>
      <c r="G27" s="3" t="s">
        <v>476</v>
      </c>
      <c r="H27" s="2">
        <v>4.47459618235E11</v>
      </c>
      <c r="I27" s="2">
        <v>7.459618236E9</v>
      </c>
      <c r="J27" s="4" t="s">
        <v>100</v>
      </c>
      <c r="K27" s="11" t="s">
        <v>477</v>
      </c>
    </row>
    <row r="28" spans="1:10" ht="15.75" customHeight="1" x14ac:dyDescent="0.15">
      <c r="A28" s="5">
        <v>46047.54912037037</v>
      </c>
      <c r="B28" s="3" t="s">
        <v>417</v>
      </c>
      <c r="C28" s="3" t="s">
        <v>45</v>
      </c>
      <c r="D28" s="3" t="s">
        <v>46</v>
      </c>
      <c r="E28" s="3" t="s">
        <v>47</v>
      </c>
      <c r="F28" s="3" t="s">
        <v>478</v>
      </c>
      <c r="G28" s="3" t="s">
        <v>479</v>
      </c>
      <c r="H28" s="2">
        <v>4.47788244022E11</v>
      </c>
      <c r="I28" s="2">
        <v>7.788244022E9</v>
      </c>
      <c r="J28" s="4" t="s">
        <v>100</v>
      </c>
    </row>
    <row r="29" spans="1:10" ht="15.75" customHeight="1" x14ac:dyDescent="0.15">
      <c r="A29" s="5">
        <v>46047.76190972222</v>
      </c>
      <c r="B29" s="3" t="s">
        <v>417</v>
      </c>
      <c r="C29" s="3" t="s">
        <v>15</v>
      </c>
      <c r="D29" s="3" t="s">
        <v>40</v>
      </c>
      <c r="E29" s="3" t="s">
        <v>47</v>
      </c>
      <c r="F29" s="3" t="s">
        <v>480</v>
      </c>
      <c r="G29" s="3" t="s">
        <v>481</v>
      </c>
      <c r="H29" s="2">
        <v>4.47912709693E11</v>
      </c>
      <c r="I29" s="2">
        <v>4.47714445563E11</v>
      </c>
      <c r="J29" s="4" t="s">
        <v>100</v>
      </c>
    </row>
    <row r="30" spans="1:10" ht="15.75" customHeight="1" x14ac:dyDescent="0.15">
      <c r="A30" s="5">
        <v>46047.770578703705</v>
      </c>
      <c r="B30" s="3" t="s">
        <v>417</v>
      </c>
      <c r="C30" s="3" t="s">
        <v>15</v>
      </c>
      <c r="D30" s="3" t="s">
        <v>40</v>
      </c>
      <c r="E30" s="3" t="s">
        <v>51</v>
      </c>
      <c r="F30" s="3" t="s">
        <v>482</v>
      </c>
      <c r="G30" s="3" t="s">
        <v>483</v>
      </c>
      <c r="H30" s="2">
        <v>4.47866518905E11</v>
      </c>
      <c r="I30" s="2">
        <v>4.47866518905E11</v>
      </c>
      <c r="J30" s="4" t="s">
        <v>484</v>
      </c>
    </row>
    <row r="31" spans="1:10" ht="15.75" customHeight="1" x14ac:dyDescent="0.15">
      <c r="A31" s="5">
        <v>46047.774722222224</v>
      </c>
      <c r="B31" s="3" t="s">
        <v>417</v>
      </c>
      <c r="C31" s="3" t="s">
        <v>15</v>
      </c>
      <c r="D31" s="3" t="s">
        <v>460</v>
      </c>
      <c r="E31" s="3" t="s">
        <v>446</v>
      </c>
      <c r="F31" s="3" t="s">
        <v>485</v>
      </c>
      <c r="G31" s="3" t="s">
        <v>486</v>
      </c>
      <c r="H31" s="2">
        <v>4.4789445204E11</v>
      </c>
      <c r="I31" s="2">
        <v>4.41530817977E11</v>
      </c>
      <c r="J31" s="4" t="s">
        <v>100</v>
      </c>
    </row>
    <row r="32" spans="1:10" ht="15.75" customHeight="1" x14ac:dyDescent="0.15">
      <c r="A32" s="5">
        <v>46047.848587962966</v>
      </c>
      <c r="B32" s="3" t="s">
        <v>417</v>
      </c>
      <c r="C32" s="3" t="s">
        <v>45</v>
      </c>
      <c r="D32" s="3" t="s">
        <v>421</v>
      </c>
      <c r="E32" s="3" t="s">
        <v>418</v>
      </c>
      <c r="F32" s="3" t="s">
        <v>487</v>
      </c>
      <c r="G32" s="3" t="s">
        <v>488</v>
      </c>
      <c r="H32" s="2">
        <v>7.706787667E9</v>
      </c>
      <c r="I32" s="2">
        <v>4.47466790556E11</v>
      </c>
      <c r="J32" s="4" t="s">
        <v>449</v>
      </c>
    </row>
    <row r="33" spans="1:10" ht="15.75" customHeight="1" x14ac:dyDescent="0.15">
      <c r="A33" s="5">
        <v>46047.86377314815</v>
      </c>
      <c r="B33" s="3" t="s">
        <v>417</v>
      </c>
      <c r="C33" s="3" t="s">
        <v>15</v>
      </c>
      <c r="D33" s="3" t="s">
        <v>50</v>
      </c>
      <c r="E33" s="3" t="s">
        <v>47</v>
      </c>
      <c r="F33" s="3" t="s">
        <v>489</v>
      </c>
      <c r="G33" s="3" t="s">
        <v>490</v>
      </c>
      <c r="H33" s="2">
        <v>4.47449206411E11</v>
      </c>
      <c r="I33" s="2">
        <v>4.47449206411E11</v>
      </c>
      <c r="J33" s="4" t="s">
        <v>100</v>
      </c>
    </row>
    <row r="34" spans="1:10" ht="15.75" customHeight="1" x14ac:dyDescent="0.15">
      <c r="A34" s="5">
        <v>46047.97505787037</v>
      </c>
      <c r="B34" s="3" t="s">
        <v>417</v>
      </c>
      <c r="C34" s="3" t="s">
        <v>15</v>
      </c>
      <c r="D34" s="3" t="s">
        <v>421</v>
      </c>
      <c r="E34" s="3" t="s">
        <v>41</v>
      </c>
      <c r="F34" s="3" t="s">
        <v>491</v>
      </c>
      <c r="G34" s="3" t="s">
        <v>492</v>
      </c>
      <c r="H34" s="2">
        <v>4.47931613416E11</v>
      </c>
      <c r="I34" s="2">
        <v>4.47931613416E11</v>
      </c>
      <c r="J34" s="4" t="s">
        <v>100</v>
      </c>
    </row>
    <row r="35" spans="1:10" ht="15.75" customHeight="1" x14ac:dyDescent="0.15">
      <c r="A35" s="5">
        <v>46048.577210648145</v>
      </c>
      <c r="B35" s="3" t="s">
        <v>417</v>
      </c>
      <c r="C35" s="3" t="s">
        <v>15</v>
      </c>
      <c r="D35" s="3" t="s">
        <v>40</v>
      </c>
      <c r="E35" s="3" t="s">
        <v>41</v>
      </c>
      <c r="F35" s="3" t="s">
        <v>493</v>
      </c>
      <c r="G35" s="3" t="s">
        <v>494</v>
      </c>
      <c r="H35" s="2">
        <v>4.4753977766E11</v>
      </c>
      <c r="I35" s="2">
        <v>4.4753977766E11</v>
      </c>
      <c r="J35" s="4" t="s">
        <v>100</v>
      </c>
    </row>
    <row r="36" spans="1:10" ht="15.75" customHeight="1" x14ac:dyDescent="0.15">
      <c r="A36" s="5">
        <v>46048.829363425924</v>
      </c>
      <c r="B36" s="3" t="s">
        <v>417</v>
      </c>
      <c r="C36" s="3" t="s">
        <v>15</v>
      </c>
      <c r="D36" s="3" t="s">
        <v>46</v>
      </c>
      <c r="E36" s="3" t="s">
        <v>41</v>
      </c>
      <c r="F36" s="3" t="s">
        <v>495</v>
      </c>
      <c r="G36" s="3" t="s">
        <v>496</v>
      </c>
      <c r="H36" s="2">
        <v>4.47550215522E11</v>
      </c>
      <c r="I36" s="2">
        <v>4.47550215522E11</v>
      </c>
      <c r="J36" s="4" t="s">
        <v>100</v>
      </c>
    </row>
    <row r="37" spans="1:10" ht="15.75" customHeight="1" x14ac:dyDescent="0.15">
      <c r="A37" s="5">
        <v>46048.888773148145</v>
      </c>
      <c r="B37" s="3" t="s">
        <v>417</v>
      </c>
      <c r="C37" s="3" t="s">
        <v>45</v>
      </c>
      <c r="D37" s="3" t="s">
        <v>460</v>
      </c>
      <c r="E37" s="3" t="s">
        <v>446</v>
      </c>
      <c r="F37" s="3" t="s">
        <v>497</v>
      </c>
      <c r="G37" s="3" t="s">
        <v>498</v>
      </c>
      <c r="H37" s="2">
        <v>4.47360004692E11</v>
      </c>
      <c r="I37" s="2">
        <v>4.47360004692E11</v>
      </c>
      <c r="J37" s="4" t="s">
        <v>100</v>
      </c>
    </row>
    <row r="38" spans="1:10" ht="15.75" customHeight="1" x14ac:dyDescent="0.15">
      <c r="A38" s="5">
        <v>46049.547106481485</v>
      </c>
      <c r="B38" s="3" t="s">
        <v>417</v>
      </c>
      <c r="C38" s="3" t="s">
        <v>15</v>
      </c>
      <c r="D38" s="3" t="s">
        <v>421</v>
      </c>
      <c r="E38" s="3" t="s">
        <v>41</v>
      </c>
      <c r="F38" s="3" t="s">
        <v>499</v>
      </c>
      <c r="G38" s="3" t="s">
        <v>500</v>
      </c>
      <c r="H38" s="2">
        <v>4.47985193308E11</v>
      </c>
      <c r="I38" s="2">
        <v>4.47985193308E11</v>
      </c>
      <c r="J38" s="4" t="s">
        <v>100</v>
      </c>
    </row>
    <row r="39" spans="1:10" ht="15.75" customHeight="1" x14ac:dyDescent="0.15">
      <c r="A39" s="5">
        <v>46049.68479166667</v>
      </c>
      <c r="B39" s="3" t="s">
        <v>417</v>
      </c>
      <c r="C39" s="3" t="s">
        <v>15</v>
      </c>
      <c r="D39" s="3" t="s">
        <v>40</v>
      </c>
      <c r="E39" s="3" t="s">
        <v>446</v>
      </c>
      <c r="F39" s="3" t="s">
        <v>501</v>
      </c>
      <c r="G39" s="3" t="s">
        <v>502</v>
      </c>
      <c r="H39" s="2">
        <v>4.47530575754E11</v>
      </c>
      <c r="I39" s="2">
        <v>4.47530575754E11</v>
      </c>
      <c r="J39" s="4" t="s">
        <v>89</v>
      </c>
    </row>
    <row r="40" spans="1:10" ht="15.75" customHeight="1" x14ac:dyDescent="0.15">
      <c r="A40" s="5">
        <v>46049.693090277775</v>
      </c>
      <c r="B40" s="3" t="s">
        <v>417</v>
      </c>
      <c r="C40" s="3" t="s">
        <v>15</v>
      </c>
      <c r="D40" s="3" t="s">
        <v>50</v>
      </c>
      <c r="E40" s="3" t="s">
        <v>41</v>
      </c>
      <c r="F40" s="3" t="s">
        <v>503</v>
      </c>
      <c r="G40" s="3" t="s">
        <v>504</v>
      </c>
      <c r="H40" s="2">
        <v>4.47541098276E11</v>
      </c>
      <c r="I40" s="2">
        <v>4.47541098276E11</v>
      </c>
      <c r="J40" s="4" t="s">
        <v>100</v>
      </c>
    </row>
    <row r="41" spans="1:10" ht="15.75" customHeight="1" x14ac:dyDescent="0.15">
      <c r="A41" s="5">
        <v>46049.75303240741</v>
      </c>
      <c r="B41" s="3" t="s">
        <v>417</v>
      </c>
      <c r="C41" s="3" t="s">
        <v>45</v>
      </c>
      <c r="D41" s="3" t="s">
        <v>40</v>
      </c>
      <c r="E41" s="3" t="s">
        <v>47</v>
      </c>
      <c r="F41" s="3" t="s">
        <v>505</v>
      </c>
      <c r="G41" s="3" t="s">
        <v>506</v>
      </c>
      <c r="H41" s="2">
        <v>4.47763026779E11</v>
      </c>
      <c r="I41" s="2">
        <v>7.733026779E9</v>
      </c>
      <c r="J41" s="4" t="s">
        <v>100</v>
      </c>
    </row>
    <row r="42" spans="1:10" ht="15.75" customHeight="1" x14ac:dyDescent="0.15">
      <c r="A42" s="5">
        <v>46049.830972222226</v>
      </c>
      <c r="B42" s="3" t="s">
        <v>417</v>
      </c>
      <c r="C42" s="3" t="s">
        <v>15</v>
      </c>
      <c r="D42" s="3" t="s">
        <v>50</v>
      </c>
      <c r="E42" s="3" t="s">
        <v>41</v>
      </c>
      <c r="F42" s="3" t="s">
        <v>507</v>
      </c>
      <c r="G42" s="3" t="s">
        <v>508</v>
      </c>
      <c r="H42" s="2">
        <v>4.47776696874E11</v>
      </c>
      <c r="I42" s="2">
        <v>4.47776696873E11</v>
      </c>
      <c r="J42" s="4" t="s">
        <v>100</v>
      </c>
    </row>
    <row r="43" spans="1:10" ht="15.75" customHeight="1" x14ac:dyDescent="0.15">
      <c r="A43" s="5">
        <v>46049.92842592593</v>
      </c>
      <c r="B43" s="3" t="s">
        <v>417</v>
      </c>
      <c r="C43" s="3" t="s">
        <v>15</v>
      </c>
      <c r="D43" s="3" t="s">
        <v>50</v>
      </c>
      <c r="E43" s="3" t="s">
        <v>47</v>
      </c>
      <c r="F43" s="3" t="s">
        <v>509</v>
      </c>
      <c r="G43" s="3" t="s">
        <v>510</v>
      </c>
      <c r="H43" s="2">
        <v>4.47914681471E11</v>
      </c>
      <c r="I43" s="2">
        <v>4.47914681471E11</v>
      </c>
      <c r="J43" s="4" t="s">
        <v>100</v>
      </c>
    </row>
    <row r="44" spans="1:10" ht="15.75" customHeight="1" x14ac:dyDescent="0.15">
      <c r="A44" s="5">
        <v>46050.12158564815</v>
      </c>
      <c r="B44" s="3" t="s">
        <v>417</v>
      </c>
      <c r="C44" s="3" t="s">
        <v>15</v>
      </c>
      <c r="D44" s="3" t="s">
        <v>40</v>
      </c>
      <c r="E44" s="3" t="s">
        <v>446</v>
      </c>
      <c r="F44" s="3" t="s">
        <v>511</v>
      </c>
      <c r="G44" s="3" t="s">
        <v>512</v>
      </c>
      <c r="H44" s="2">
        <v>4.47941101857E11</v>
      </c>
      <c r="I44" s="2">
        <v>4.47941101857E11</v>
      </c>
      <c r="J44" s="4" t="s">
        <v>100</v>
      </c>
    </row>
    <row r="45" spans="1:10" ht="15.75" customHeight="1" x14ac:dyDescent="0.15">
      <c r="A45" s="5">
        <v>46050.520787037036</v>
      </c>
      <c r="B45" s="3" t="s">
        <v>417</v>
      </c>
      <c r="C45" s="3" t="s">
        <v>45</v>
      </c>
      <c r="D45" s="3" t="s">
        <v>50</v>
      </c>
      <c r="E45" s="3" t="s">
        <v>446</v>
      </c>
      <c r="F45" s="3" t="s">
        <v>513</v>
      </c>
      <c r="G45" s="3" t="s">
        <v>514</v>
      </c>
      <c r="H45" s="2">
        <v>4.47542180762E11</v>
      </c>
      <c r="I45" s="2" t="s">
        <v>515</v>
      </c>
      <c r="J45" s="4" t="s">
        <v>449</v>
      </c>
    </row>
    <row r="46" spans="1:10" ht="15.75" customHeight="1" x14ac:dyDescent="0.15">
      <c r="A46" s="5">
        <v>46050.522673611114</v>
      </c>
      <c r="B46" s="3" t="s">
        <v>417</v>
      </c>
      <c r="C46" s="3" t="s">
        <v>15</v>
      </c>
      <c r="D46" s="3" t="s">
        <v>40</v>
      </c>
      <c r="E46" s="3" t="s">
        <v>446</v>
      </c>
      <c r="F46" s="3" t="s">
        <v>516</v>
      </c>
      <c r="G46" s="3" t="s">
        <v>517</v>
      </c>
      <c r="H46" s="2">
        <v>4.47424983341E11</v>
      </c>
      <c r="I46" s="2">
        <v>4.47424983341E11</v>
      </c>
      <c r="J46" s="4" t="s">
        <v>100</v>
      </c>
    </row>
    <row r="47" spans="1:10" ht="15.75" customHeight="1" x14ac:dyDescent="0.15">
      <c r="A47" s="5">
        <v>46050.64027777778</v>
      </c>
      <c r="B47" s="3" t="s">
        <v>417</v>
      </c>
      <c r="C47" s="3" t="s">
        <v>15</v>
      </c>
      <c r="D47" s="3" t="s">
        <v>40</v>
      </c>
      <c r="E47" s="3" t="s">
        <v>47</v>
      </c>
      <c r="F47" s="3" t="s">
        <v>518</v>
      </c>
      <c r="G47" s="3" t="s">
        <v>519</v>
      </c>
      <c r="H47" s="2">
        <v>4.4731174418E11</v>
      </c>
      <c r="I47" s="2">
        <v>4.4731174418E11</v>
      </c>
      <c r="J47" s="4" t="s">
        <v>100</v>
      </c>
    </row>
    <row r="48" spans="1:10" ht="15.75" customHeight="1" x14ac:dyDescent="0.15">
      <c r="A48" s="5">
        <v>46050.69795138889</v>
      </c>
      <c r="B48" s="3" t="s">
        <v>417</v>
      </c>
      <c r="C48" s="3" t="s">
        <v>15</v>
      </c>
      <c r="D48" s="3" t="s">
        <v>50</v>
      </c>
      <c r="E48" s="3" t="s">
        <v>47</v>
      </c>
      <c r="F48" s="3" t="s">
        <v>520</v>
      </c>
      <c r="G48" s="3" t="s">
        <v>521</v>
      </c>
      <c r="H48" s="2">
        <v>4.47453146117E11</v>
      </c>
      <c r="I48" s="2">
        <v>4.47453146117E11</v>
      </c>
      <c r="J48" s="4" t="s">
        <v>100</v>
      </c>
    </row>
    <row r="49" spans="1:10" ht="15.75" customHeight="1" x14ac:dyDescent="0.15">
      <c r="A49" s="5">
        <v>46050.870162037034</v>
      </c>
      <c r="B49" s="3" t="s">
        <v>417</v>
      </c>
      <c r="C49" s="3" t="s">
        <v>15</v>
      </c>
      <c r="D49" s="3" t="s">
        <v>46</v>
      </c>
      <c r="E49" s="3" t="s">
        <v>446</v>
      </c>
      <c r="F49" s="3" t="s">
        <v>522</v>
      </c>
      <c r="G49" s="3" t="s">
        <v>523</v>
      </c>
      <c r="H49" s="2">
        <v>4.47977426907E11</v>
      </c>
      <c r="I49" s="2">
        <v>4.47977426907E11</v>
      </c>
      <c r="J49" s="4" t="s">
        <v>100</v>
      </c>
    </row>
    <row r="50" spans="1:10" ht="15.75" customHeight="1" x14ac:dyDescent="0.15">
      <c r="A50" s="5">
        <v>46050.87163194444</v>
      </c>
      <c r="B50" s="3" t="s">
        <v>417</v>
      </c>
      <c r="C50" s="3" t="s">
        <v>15</v>
      </c>
      <c r="D50" s="3" t="s">
        <v>46</v>
      </c>
      <c r="E50" s="3" t="s">
        <v>418</v>
      </c>
      <c r="F50" s="3" t="s">
        <v>524</v>
      </c>
      <c r="G50" s="3" t="s">
        <v>525</v>
      </c>
      <c r="H50" s="2">
        <v>4.4742932737E11</v>
      </c>
      <c r="I50" s="2">
        <v>4.4742932737E11</v>
      </c>
      <c r="J50" s="4" t="s">
        <v>100</v>
      </c>
    </row>
    <row r="51" spans="1:10" ht="15.75" customHeight="1" x14ac:dyDescent="0.15">
      <c r="A51" s="5">
        <v>46051.83081018519</v>
      </c>
      <c r="B51" s="3" t="s">
        <v>417</v>
      </c>
      <c r="C51" s="3" t="s">
        <v>15</v>
      </c>
      <c r="D51" s="3" t="s">
        <v>50</v>
      </c>
      <c r="E51" s="3" t="s">
        <v>47</v>
      </c>
      <c r="F51" s="3" t="s">
        <v>526</v>
      </c>
      <c r="G51" s="3" t="s">
        <v>527</v>
      </c>
      <c r="H51" s="2">
        <v>4.47507410039E11</v>
      </c>
      <c r="I51" s="2">
        <v>4.47976726045E11</v>
      </c>
      <c r="J51" s="4" t="s">
        <v>100</v>
      </c>
    </row>
    <row r="52" spans="1:10" ht="15.75" customHeight="1" x14ac:dyDescent="0.15">
      <c r="A52" s="5">
        <v>46051.90152777778</v>
      </c>
      <c r="B52" s="3" t="s">
        <v>417</v>
      </c>
      <c r="C52" s="3" t="s">
        <v>15</v>
      </c>
      <c r="D52" s="3" t="s">
        <v>50</v>
      </c>
      <c r="E52" s="3" t="s">
        <v>446</v>
      </c>
      <c r="F52" s="3" t="s">
        <v>528</v>
      </c>
      <c r="G52" s="3" t="s">
        <v>529</v>
      </c>
      <c r="H52" s="2">
        <v>4.47516122409E11</v>
      </c>
      <c r="I52" s="2">
        <v>4.47516122409E11</v>
      </c>
      <c r="J52" s="4" t="s">
        <v>100</v>
      </c>
    </row>
    <row r="53" spans="1:10" ht="15.75" customHeight="1" x14ac:dyDescent="0.15">
      <c r="A53" s="5">
        <v>46052.07334490741</v>
      </c>
      <c r="B53" s="3" t="s">
        <v>417</v>
      </c>
      <c r="C53" s="3" t="s">
        <v>15</v>
      </c>
      <c r="D53" s="3" t="s">
        <v>46</v>
      </c>
      <c r="E53" s="3" t="s">
        <v>418</v>
      </c>
      <c r="F53" s="3" t="s">
        <v>530</v>
      </c>
      <c r="G53" s="3" t="s">
        <v>531</v>
      </c>
      <c r="H53" s="2">
        <v>4.47440560865E11</v>
      </c>
      <c r="I53" s="2">
        <v>8.801723015216E12</v>
      </c>
      <c r="J53" s="4" t="s">
        <v>100</v>
      </c>
    </row>
    <row r="54" spans="1:10" ht="15.75" customHeight="1" x14ac:dyDescent="0.15">
      <c r="A54" s="5">
        <v>46052.52748842593</v>
      </c>
      <c r="B54" s="3" t="s">
        <v>417</v>
      </c>
      <c r="C54" s="3" t="s">
        <v>45</v>
      </c>
      <c r="D54" s="3" t="s">
        <v>46</v>
      </c>
      <c r="E54" s="3" t="s">
        <v>418</v>
      </c>
      <c r="F54" s="3" t="s">
        <v>532</v>
      </c>
      <c r="G54" s="3" t="s">
        <v>533</v>
      </c>
      <c r="H54" s="2">
        <v>4.47769022063E11</v>
      </c>
      <c r="I54" s="2">
        <v>7.769022063E9</v>
      </c>
      <c r="J54" s="4" t="s">
        <v>100</v>
      </c>
    </row>
    <row r="55" spans="1:10" ht="15.75" customHeight="1" x14ac:dyDescent="0.15">
      <c r="A55" s="5">
        <v>46052.946493055555</v>
      </c>
      <c r="B55" s="3" t="s">
        <v>417</v>
      </c>
      <c r="C55" s="3" t="s">
        <v>45</v>
      </c>
      <c r="D55" s="3" t="s">
        <v>421</v>
      </c>
      <c r="E55" s="3" t="s">
        <v>446</v>
      </c>
      <c r="F55" s="3" t="s">
        <v>534</v>
      </c>
      <c r="G55" s="3" t="s">
        <v>535</v>
      </c>
      <c r="H55" s="2">
        <v>4.47501115084E11</v>
      </c>
      <c r="I55" s="2">
        <v>7.501905349E9</v>
      </c>
      <c r="J55" s="4" t="s">
        <v>449</v>
      </c>
    </row>
    <row r="56" spans="1:10" ht="15.75" customHeight="1" x14ac:dyDescent="0.15">
      <c r="A56" s="5">
        <v>46052.963125</v>
      </c>
      <c r="B56" s="3" t="s">
        <v>417</v>
      </c>
      <c r="C56" s="3" t="s">
        <v>15</v>
      </c>
      <c r="D56" s="3" t="s">
        <v>40</v>
      </c>
      <c r="E56" s="3" t="s">
        <v>47</v>
      </c>
      <c r="F56" s="3" t="s">
        <v>536</v>
      </c>
      <c r="G56" s="3" t="s">
        <v>537</v>
      </c>
      <c r="H56" s="2">
        <v>4.47415131447E11</v>
      </c>
      <c r="I56" s="2">
        <v>4.47415131447E11</v>
      </c>
      <c r="J56" s="4" t="s">
        <v>100</v>
      </c>
    </row>
    <row r="57" spans="1:10" ht="15.75" customHeight="1" x14ac:dyDescent="0.15">
      <c r="A57" s="5">
        <v>46053.21927083333</v>
      </c>
      <c r="B57" s="3" t="s">
        <v>417</v>
      </c>
      <c r="C57" s="3" t="s">
        <v>15</v>
      </c>
      <c r="D57" s="3" t="s">
        <v>46</v>
      </c>
      <c r="E57" s="3" t="s">
        <v>47</v>
      </c>
      <c r="F57" s="3" t="s">
        <v>538</v>
      </c>
      <c r="G57" s="3" t="s">
        <v>539</v>
      </c>
      <c r="H57" s="2">
        <v>4.47405337108E11</v>
      </c>
      <c r="I57" s="2">
        <v>4.47405337108E11</v>
      </c>
      <c r="J57" s="4" t="s">
        <v>100</v>
      </c>
    </row>
    <row r="58" spans="1:10" ht="15.75" customHeight="1" x14ac:dyDescent="0.15">
      <c r="A58" s="5">
        <v>46053.32609953704</v>
      </c>
      <c r="B58" s="3" t="s">
        <v>417</v>
      </c>
      <c r="C58" s="3" t="s">
        <v>15</v>
      </c>
      <c r="D58" s="3" t="s">
        <v>40</v>
      </c>
      <c r="E58" s="3" t="s">
        <v>51</v>
      </c>
      <c r="F58" s="3" t="s">
        <v>540</v>
      </c>
      <c r="G58" s="3" t="s">
        <v>541</v>
      </c>
      <c r="H58" s="2">
        <v>4.47980733825E11</v>
      </c>
      <c r="I58" s="2">
        <v>4.47539293811E11</v>
      </c>
      <c r="J58" s="4" t="s">
        <v>100</v>
      </c>
    </row>
    <row r="59" spans="1:10" ht="15.75" customHeight="1" x14ac:dyDescent="0.15">
      <c r="A59" s="5">
        <v>46053.38429398148</v>
      </c>
      <c r="B59" s="3" t="s">
        <v>417</v>
      </c>
      <c r="C59" s="3" t="s">
        <v>15</v>
      </c>
      <c r="D59" s="3" t="s">
        <v>50</v>
      </c>
      <c r="E59" s="3" t="s">
        <v>41</v>
      </c>
      <c r="F59" s="3" t="s">
        <v>542</v>
      </c>
      <c r="G59" s="3" t="s">
        <v>543</v>
      </c>
      <c r="H59" s="2">
        <v>4.47501941951E11</v>
      </c>
      <c r="I59" s="2">
        <v>4.47501941951E11</v>
      </c>
      <c r="J59" s="4" t="s">
        <v>100</v>
      </c>
    </row>
    <row r="60" spans="1:10" ht="15.75" customHeight="1" x14ac:dyDescent="0.15">
      <c r="A60" s="5">
        <v>46053.72587962963</v>
      </c>
      <c r="B60" s="3" t="s">
        <v>417</v>
      </c>
      <c r="C60" s="3" t="s">
        <v>15</v>
      </c>
      <c r="D60" s="3" t="s">
        <v>50</v>
      </c>
      <c r="E60" s="3" t="s">
        <v>47</v>
      </c>
      <c r="F60" s="3" t="s">
        <v>544</v>
      </c>
      <c r="G60" s="3" t="s">
        <v>545</v>
      </c>
      <c r="H60" s="2">
        <v>4.47365626265E11</v>
      </c>
      <c r="I60" s="2">
        <v>4.47365626265E11</v>
      </c>
      <c r="J60" s="4" t="s">
        <v>100</v>
      </c>
    </row>
    <row r="61" spans="1:10" ht="15.75" customHeight="1" x14ac:dyDescent="0.15">
      <c r="A61" s="5">
        <v>46053.76724537037</v>
      </c>
      <c r="B61" s="3" t="s">
        <v>417</v>
      </c>
      <c r="C61" s="3" t="s">
        <v>15</v>
      </c>
      <c r="D61" s="3" t="s">
        <v>50</v>
      </c>
      <c r="E61" s="3" t="s">
        <v>47</v>
      </c>
      <c r="F61" s="3" t="s">
        <v>546</v>
      </c>
      <c r="G61" s="3" t="s">
        <v>547</v>
      </c>
      <c r="H61" s="2">
        <v>4.47861696791E11</v>
      </c>
      <c r="I61" s="2">
        <v>4.47861696791E11</v>
      </c>
      <c r="J61" s="4" t="s">
        <v>100</v>
      </c>
    </row>
    <row r="62" spans="1:10" ht="15.75" customHeight="1" x14ac:dyDescent="0.15">
      <c r="A62" s="5">
        <v>46053.87087962963</v>
      </c>
      <c r="B62" s="3" t="s">
        <v>417</v>
      </c>
      <c r="C62" s="3" t="s">
        <v>45</v>
      </c>
      <c r="D62" s="3" t="s">
        <v>40</v>
      </c>
      <c r="E62" s="3" t="s">
        <v>446</v>
      </c>
      <c r="F62" s="3" t="s">
        <v>548</v>
      </c>
      <c r="G62" s="3" t="s">
        <v>549</v>
      </c>
      <c r="H62" s="2">
        <v>4.47984452614E11</v>
      </c>
      <c r="I62" s="2" t="s">
        <v>550</v>
      </c>
      <c r="J62" s="4" t="s">
        <v>100</v>
      </c>
    </row>
    <row r="63" spans="1:10" ht="15.75" customHeight="1" x14ac:dyDescent="0.15">
      <c r="A63" s="5">
        <v>46054.202210648145</v>
      </c>
      <c r="B63" s="3" t="s">
        <v>417</v>
      </c>
      <c r="C63" s="3" t="s">
        <v>15</v>
      </c>
      <c r="D63" s="3" t="s">
        <v>40</v>
      </c>
      <c r="E63" s="3" t="s">
        <v>47</v>
      </c>
      <c r="F63" s="3" t="s">
        <v>551</v>
      </c>
      <c r="G63" s="3" t="s">
        <v>552</v>
      </c>
      <c r="H63" s="2">
        <v>4.4730305969E11</v>
      </c>
      <c r="I63" s="2">
        <v>4.4730305969E11</v>
      </c>
      <c r="J63" s="4" t="s">
        <v>100</v>
      </c>
    </row>
    <row r="64" spans="1:10" ht="15.75" customHeight="1" x14ac:dyDescent="0.15">
      <c r="A64" s="5">
        <v>46054.286527777775</v>
      </c>
      <c r="B64" s="3" t="s">
        <v>417</v>
      </c>
      <c r="C64" s="3" t="s">
        <v>15</v>
      </c>
      <c r="D64" s="3" t="s">
        <v>46</v>
      </c>
      <c r="E64" s="3" t="s">
        <v>446</v>
      </c>
      <c r="F64" s="3" t="s">
        <v>553</v>
      </c>
      <c r="G64" s="3" t="s">
        <v>554</v>
      </c>
      <c r="H64" s="2">
        <v>4.47957797949E11</v>
      </c>
      <c r="I64" s="2">
        <v>4.47957797949E11</v>
      </c>
      <c r="J64" s="4" t="s">
        <v>100</v>
      </c>
    </row>
    <row r="65" spans="1:10" ht="15.75" customHeight="1" x14ac:dyDescent="0.15">
      <c r="A65" s="5">
        <v>46054.340578703705</v>
      </c>
      <c r="B65" s="3" t="s">
        <v>417</v>
      </c>
      <c r="C65" s="3" t="s">
        <v>15</v>
      </c>
      <c r="D65" s="3" t="s">
        <v>46</v>
      </c>
      <c r="E65" s="3" t="s">
        <v>446</v>
      </c>
      <c r="F65" s="3" t="s">
        <v>555</v>
      </c>
      <c r="G65" s="3" t="s">
        <v>556</v>
      </c>
      <c r="H65" s="2">
        <v>4.47376478195E11</v>
      </c>
      <c r="I65" s="2">
        <v>4.47376478195E11</v>
      </c>
      <c r="J65" s="4" t="s">
        <v>100</v>
      </c>
    </row>
    <row r="66" spans="1:10" ht="15.75" customHeight="1" x14ac:dyDescent="0.15">
      <c r="A66" s="5">
        <v>46054.48570601852</v>
      </c>
      <c r="B66" s="3" t="s">
        <v>417</v>
      </c>
      <c r="C66" s="3" t="s">
        <v>15</v>
      </c>
      <c r="D66" s="3" t="s">
        <v>40</v>
      </c>
      <c r="E66" s="3" t="s">
        <v>418</v>
      </c>
      <c r="F66" s="3" t="s">
        <v>557</v>
      </c>
      <c r="G66" s="3" t="s">
        <v>558</v>
      </c>
      <c r="H66" s="2">
        <v>4.4758618478E11</v>
      </c>
      <c r="I66" s="2">
        <v>4.4758618478E11</v>
      </c>
      <c r="J66" s="4" t="s">
        <v>100</v>
      </c>
    </row>
    <row r="67" spans="1:10" ht="15.75" customHeight="1" x14ac:dyDescent="0.15">
      <c r="A67" s="5">
        <v>46054.49888888889</v>
      </c>
      <c r="B67" s="3" t="s">
        <v>417</v>
      </c>
      <c r="C67" s="3" t="s">
        <v>15</v>
      </c>
      <c r="D67" s="3" t="s">
        <v>40</v>
      </c>
      <c r="E67" s="3" t="s">
        <v>51</v>
      </c>
      <c r="F67" s="3" t="s">
        <v>559</v>
      </c>
      <c r="G67" s="3" t="s">
        <v>560</v>
      </c>
      <c r="H67" s="2">
        <v>4.47969967586E11</v>
      </c>
      <c r="I67" s="2">
        <v>4.47969967586E11</v>
      </c>
      <c r="J67" s="4" t="s">
        <v>100</v>
      </c>
    </row>
    <row r="68" spans="1:10" ht="15.75" customHeight="1" x14ac:dyDescent="0.15">
      <c r="A68" s="5">
        <v>46057.32670138889</v>
      </c>
      <c r="B68" s="3" t="s">
        <v>417</v>
      </c>
      <c r="C68" s="3" t="s">
        <v>15</v>
      </c>
      <c r="D68" s="3" t="s">
        <v>50</v>
      </c>
      <c r="E68" s="3" t="s">
        <v>41</v>
      </c>
      <c r="F68" s="3" t="s">
        <v>561</v>
      </c>
      <c r="G68" s="3" t="s">
        <v>562</v>
      </c>
      <c r="H68" s="2">
        <v>4.47491805963E11</v>
      </c>
      <c r="I68" s="2">
        <v>4.47491805963E11</v>
      </c>
      <c r="J68" s="4" t="s">
        <v>100</v>
      </c>
    </row>
    <row r="69" spans="1:11" ht="15.75" customHeight="1" x14ac:dyDescent="0.15">
      <c r="A69" s="5">
        <v>46057.478159722225</v>
      </c>
      <c r="B69" s="3" t="s">
        <v>417</v>
      </c>
      <c r="C69" s="3" t="s">
        <v>15</v>
      </c>
      <c r="D69" s="3" t="s">
        <v>50</v>
      </c>
      <c r="E69" s="3" t="s">
        <v>418</v>
      </c>
      <c r="F69" s="3" t="s">
        <v>563</v>
      </c>
      <c r="G69" s="3" t="s">
        <v>564</v>
      </c>
      <c r="H69" s="2">
        <v>9.66503603896E11</v>
      </c>
      <c r="I69" s="2">
        <v>9.66503603896E11</v>
      </c>
      <c r="J69" s="4" t="s">
        <v>565</v>
      </c>
      <c r="K69" s="11" t="s">
        <v>566</v>
      </c>
    </row>
    <row r="70" spans="1:10" ht="15.75" customHeight="1" x14ac:dyDescent="0.15">
      <c r="A70" s="5">
        <v>46057.70072916667</v>
      </c>
      <c r="B70" s="3" t="s">
        <v>417</v>
      </c>
      <c r="C70" s="3" t="s">
        <v>15</v>
      </c>
      <c r="D70" s="3" t="s">
        <v>40</v>
      </c>
      <c r="E70" s="3" t="s">
        <v>446</v>
      </c>
      <c r="F70" s="3" t="s">
        <v>567</v>
      </c>
      <c r="G70" s="3" t="s">
        <v>568</v>
      </c>
      <c r="H70" s="2">
        <v>4.4795791638E11</v>
      </c>
      <c r="I70" s="2">
        <v>4.4795791638E11</v>
      </c>
      <c r="J70" s="4" t="s">
        <v>100</v>
      </c>
    </row>
    <row r="71" spans="1:10" ht="15.75" customHeight="1" x14ac:dyDescent="0.15">
      <c r="A71" s="5">
        <v>46057.705300925925</v>
      </c>
      <c r="B71" s="3" t="s">
        <v>417</v>
      </c>
      <c r="C71" s="3" t="s">
        <v>45</v>
      </c>
      <c r="D71" s="3" t="s">
        <v>421</v>
      </c>
      <c r="E71" s="3" t="s">
        <v>51</v>
      </c>
      <c r="F71" s="3" t="s">
        <v>569</v>
      </c>
      <c r="G71" s="3" t="s">
        <v>570</v>
      </c>
      <c r="H71" s="2">
        <v>7.404498612E9</v>
      </c>
      <c r="I71" s="2" t="s">
        <v>571</v>
      </c>
      <c r="J71" s="4" t="s">
        <v>100</v>
      </c>
    </row>
    <row r="72" spans="1:10" ht="15.75" customHeight="1" x14ac:dyDescent="0.15">
      <c r="A72" s="5">
        <v>46057.84515046296</v>
      </c>
      <c r="B72" s="3" t="s">
        <v>417</v>
      </c>
      <c r="C72" s="3" t="s">
        <v>45</v>
      </c>
      <c r="D72" s="3" t="s">
        <v>421</v>
      </c>
      <c r="E72" s="3" t="s">
        <v>446</v>
      </c>
      <c r="F72" s="3" t="s">
        <v>572</v>
      </c>
      <c r="G72" s="3" t="s">
        <v>573</v>
      </c>
      <c r="H72" s="2">
        <v>4.47743960402E11</v>
      </c>
      <c r="I72" s="2">
        <v>7.743960402E9</v>
      </c>
      <c r="J72" s="4" t="s">
        <v>100</v>
      </c>
    </row>
    <row r="73" spans="1:10" ht="15.75" customHeight="1" x14ac:dyDescent="0.15">
      <c r="A73" s="5">
        <v>46057.921435185184</v>
      </c>
      <c r="B73" s="3" t="s">
        <v>417</v>
      </c>
      <c r="C73" s="3" t="s">
        <v>15</v>
      </c>
      <c r="D73" s="3" t="s">
        <v>50</v>
      </c>
      <c r="E73" s="3" t="s">
        <v>47</v>
      </c>
      <c r="F73" s="3" t="s">
        <v>574</v>
      </c>
      <c r="G73" s="3" t="s">
        <v>575</v>
      </c>
      <c r="H73" s="2">
        <v>4.4744955116E11</v>
      </c>
      <c r="I73" s="2">
        <v>4.4744955116E11</v>
      </c>
      <c r="J73" s="4" t="s">
        <v>100</v>
      </c>
    </row>
    <row r="74" spans="1:10" ht="15.75" customHeight="1" x14ac:dyDescent="0.15">
      <c r="A74" s="5">
        <v>46057.99369212963</v>
      </c>
      <c r="B74" s="3" t="s">
        <v>417</v>
      </c>
      <c r="C74" s="3" t="s">
        <v>15</v>
      </c>
      <c r="D74" s="3" t="s">
        <v>46</v>
      </c>
      <c r="E74" s="3" t="s">
        <v>51</v>
      </c>
      <c r="F74" s="3" t="s">
        <v>576</v>
      </c>
      <c r="G74" s="3" t="s">
        <v>577</v>
      </c>
      <c r="H74" s="2">
        <v>4.47717551531E11</v>
      </c>
      <c r="I74" s="2">
        <v>4.47717551531E11</v>
      </c>
      <c r="J74" s="4" t="s">
        <v>150</v>
      </c>
    </row>
    <row r="75" spans="1:10" ht="15.75" customHeight="1" x14ac:dyDescent="0.15">
      <c r="A75" s="5">
        <v>46058.00104166667</v>
      </c>
      <c r="B75" s="3" t="s">
        <v>417</v>
      </c>
      <c r="C75" s="3" t="s">
        <v>15</v>
      </c>
      <c r="D75" s="3" t="s">
        <v>46</v>
      </c>
      <c r="E75" s="3" t="s">
        <v>47</v>
      </c>
      <c r="F75" s="3" t="s">
        <v>578</v>
      </c>
      <c r="G75" s="3" t="s">
        <v>579</v>
      </c>
      <c r="H75" s="2">
        <v>4.47920046603E11</v>
      </c>
      <c r="I75" s="2">
        <v>4.47920046603E11</v>
      </c>
      <c r="J75" s="4" t="s">
        <v>89</v>
      </c>
    </row>
    <row r="76" spans="1:10" ht="15.75" customHeight="1" x14ac:dyDescent="0.15">
      <c r="A76" s="5">
        <v>46058.02232638889</v>
      </c>
      <c r="B76" s="3" t="s">
        <v>417</v>
      </c>
      <c r="C76" s="3" t="s">
        <v>45</v>
      </c>
      <c r="D76" s="3" t="s">
        <v>40</v>
      </c>
      <c r="E76" s="3" t="s">
        <v>418</v>
      </c>
      <c r="F76" s="3" t="s">
        <v>580</v>
      </c>
      <c r="G76" s="3" t="s">
        <v>581</v>
      </c>
      <c r="H76" s="2">
        <v>4.47795246606E11</v>
      </c>
      <c r="I76" s="2">
        <v>7.795246606E9</v>
      </c>
      <c r="J76" s="4" t="s">
        <v>100</v>
      </c>
    </row>
    <row r="77" spans="1:10" ht="15.75" customHeight="1" x14ac:dyDescent="0.15">
      <c r="A77" s="5">
        <v>46058.293599537035</v>
      </c>
      <c r="B77" s="3" t="s">
        <v>417</v>
      </c>
      <c r="C77" s="3" t="s">
        <v>15</v>
      </c>
      <c r="D77" s="3" t="s">
        <v>421</v>
      </c>
      <c r="E77" s="3" t="s">
        <v>47</v>
      </c>
      <c r="F77" s="3" t="s">
        <v>582</v>
      </c>
      <c r="G77" s="3" t="s">
        <v>583</v>
      </c>
      <c r="H77" s="2">
        <v>4.47388337282E11</v>
      </c>
      <c r="I77" s="2">
        <v>4.47388337282E11</v>
      </c>
      <c r="J77" s="4" t="s">
        <v>100</v>
      </c>
    </row>
    <row r="78" spans="1:10" ht="15.75" customHeight="1" x14ac:dyDescent="0.15">
      <c r="A78" s="5">
        <v>46058.295902777776</v>
      </c>
      <c r="B78" s="3" t="s">
        <v>417</v>
      </c>
      <c r="C78" s="3" t="s">
        <v>15</v>
      </c>
      <c r="D78" s="3" t="s">
        <v>40</v>
      </c>
      <c r="E78" s="3" t="s">
        <v>47</v>
      </c>
      <c r="F78" s="3" t="s">
        <v>584</v>
      </c>
      <c r="G78" s="3" t="s">
        <v>585</v>
      </c>
      <c r="H78" s="2">
        <v>4.47711815302E11</v>
      </c>
      <c r="I78" s="2">
        <v>4.47711815302E11</v>
      </c>
      <c r="J78" s="4" t="s">
        <v>100</v>
      </c>
    </row>
    <row r="79" spans="1:10" ht="15.75" customHeight="1" x14ac:dyDescent="0.15">
      <c r="A79" s="5">
        <v>46058.43766203704</v>
      </c>
      <c r="B79" s="3" t="s">
        <v>417</v>
      </c>
      <c r="C79" s="3" t="s">
        <v>15</v>
      </c>
      <c r="D79" s="3" t="s">
        <v>40</v>
      </c>
      <c r="E79" s="3" t="s">
        <v>41</v>
      </c>
      <c r="F79" s="3" t="s">
        <v>586</v>
      </c>
      <c r="G79" s="3" t="s">
        <v>587</v>
      </c>
      <c r="H79" s="2">
        <v>4.47447425289E11</v>
      </c>
      <c r="I79" s="2">
        <v>4.47447425289E11</v>
      </c>
      <c r="J79" s="4" t="s">
        <v>100</v>
      </c>
    </row>
    <row r="80" spans="1:10" ht="15.75" customHeight="1" x14ac:dyDescent="0.15">
      <c r="A80" s="5">
        <v>46058.45887731481</v>
      </c>
      <c r="B80" s="3" t="s">
        <v>417</v>
      </c>
      <c r="C80" s="3" t="s">
        <v>15</v>
      </c>
      <c r="D80" s="3" t="s">
        <v>50</v>
      </c>
      <c r="E80" s="3" t="s">
        <v>41</v>
      </c>
      <c r="F80" s="3" t="s">
        <v>588</v>
      </c>
      <c r="G80" s="3" t="s">
        <v>589</v>
      </c>
      <c r="H80" s="2">
        <v>4.47519420218E11</v>
      </c>
      <c r="I80" s="2">
        <v>4.47519420218E11</v>
      </c>
      <c r="J80" s="4" t="s">
        <v>590</v>
      </c>
    </row>
    <row r="81" spans="1:10" ht="15.75" customHeight="1" x14ac:dyDescent="0.15">
      <c r="A81" s="5">
        <v>46058.786458333336</v>
      </c>
      <c r="B81" s="3" t="s">
        <v>417</v>
      </c>
      <c r="C81" s="3" t="s">
        <v>15</v>
      </c>
      <c r="D81" s="3" t="s">
        <v>40</v>
      </c>
      <c r="E81" s="3" t="s">
        <v>47</v>
      </c>
      <c r="F81" s="3" t="s">
        <v>591</v>
      </c>
      <c r="G81" s="3" t="s">
        <v>592</v>
      </c>
      <c r="H81" s="2">
        <v>4.47594199696E11</v>
      </c>
      <c r="I81" s="2">
        <v>4.47594199696E11</v>
      </c>
      <c r="J81" s="4" t="s">
        <v>593</v>
      </c>
    </row>
    <row r="82" spans="1:10" ht="15.75" customHeight="1" x14ac:dyDescent="0.15">
      <c r="A82" s="5">
        <v>46059.412465277775</v>
      </c>
      <c r="B82" s="3" t="s">
        <v>417</v>
      </c>
      <c r="C82" s="3" t="s">
        <v>15</v>
      </c>
      <c r="D82" s="3" t="s">
        <v>40</v>
      </c>
      <c r="E82" s="3" t="s">
        <v>446</v>
      </c>
      <c r="F82" s="3" t="s">
        <v>594</v>
      </c>
      <c r="G82" s="3" t="s">
        <v>595</v>
      </c>
      <c r="H82" s="2">
        <v>4.47743673344E11</v>
      </c>
      <c r="I82" s="2">
        <v>4.47743673344E11</v>
      </c>
      <c r="J82" s="4" t="s">
        <v>100</v>
      </c>
    </row>
    <row r="83" spans="1:10" ht="15.75" customHeight="1" x14ac:dyDescent="0.15">
      <c r="A83" s="5">
        <v>46059.51900462963</v>
      </c>
      <c r="B83" s="3" t="s">
        <v>417</v>
      </c>
      <c r="C83" s="3" t="s">
        <v>15</v>
      </c>
      <c r="D83" s="3" t="s">
        <v>40</v>
      </c>
      <c r="E83" s="3" t="s">
        <v>446</v>
      </c>
      <c r="F83" s="3" t="s">
        <v>596</v>
      </c>
      <c r="G83" s="3" t="s">
        <v>597</v>
      </c>
      <c r="H83" s="2">
        <v>4.47949001289E11</v>
      </c>
      <c r="I83" s="2">
        <v>4.47949001289E11</v>
      </c>
      <c r="J83" s="4" t="s">
        <v>100</v>
      </c>
    </row>
    <row r="84" spans="1:10" ht="15.75" customHeight="1" x14ac:dyDescent="0.15">
      <c r="A84" s="5">
        <v>46059.815613425926</v>
      </c>
      <c r="B84" s="3" t="s">
        <v>417</v>
      </c>
      <c r="C84" s="3" t="s">
        <v>15</v>
      </c>
      <c r="D84" s="3" t="s">
        <v>40</v>
      </c>
      <c r="E84" s="3" t="s">
        <v>418</v>
      </c>
      <c r="F84" s="3" t="s">
        <v>598</v>
      </c>
      <c r="G84" s="3" t="s">
        <v>599</v>
      </c>
      <c r="H84" s="2">
        <v>4.47595456454E11</v>
      </c>
      <c r="I84" s="2">
        <v>4.4757436546E11</v>
      </c>
      <c r="J84" s="4" t="s">
        <v>100</v>
      </c>
    </row>
    <row r="85" spans="1:10" ht="15.75" customHeight="1" x14ac:dyDescent="0.15">
      <c r="A85" s="5">
        <v>46059.817928240744</v>
      </c>
      <c r="B85" s="3" t="s">
        <v>417</v>
      </c>
      <c r="C85" s="3" t="s">
        <v>45</v>
      </c>
      <c r="D85" s="3" t="s">
        <v>40</v>
      </c>
      <c r="E85" s="3" t="s">
        <v>418</v>
      </c>
      <c r="F85" s="3" t="s">
        <v>600</v>
      </c>
      <c r="G85" s="3" t="s">
        <v>601</v>
      </c>
      <c r="H85" s="2">
        <v>4.47517116781E11</v>
      </c>
      <c r="I85" s="2">
        <v>4.47517116781E11</v>
      </c>
      <c r="J85" s="4" t="s">
        <v>100</v>
      </c>
    </row>
    <row r="86" spans="1:10" ht="15.75" customHeight="1" x14ac:dyDescent="0.15">
      <c r="A86" s="5">
        <v>46059.94798611111</v>
      </c>
      <c r="B86" s="3" t="s">
        <v>417</v>
      </c>
      <c r="C86" s="3" t="s">
        <v>45</v>
      </c>
      <c r="D86" s="3" t="s">
        <v>40</v>
      </c>
      <c r="E86" s="3" t="s">
        <v>418</v>
      </c>
      <c r="F86" s="3" t="s">
        <v>602</v>
      </c>
      <c r="G86" s="3" t="s">
        <v>603</v>
      </c>
      <c r="H86" s="2">
        <v>4.47940582975E11</v>
      </c>
      <c r="I86" s="2">
        <v>4.47940582975E11</v>
      </c>
      <c r="J86" s="4" t="s">
        <v>89</v>
      </c>
    </row>
    <row r="87" spans="1:10" ht="15.75" customHeight="1" x14ac:dyDescent="0.15">
      <c r="A87" s="5">
        <v>46060.04550925926</v>
      </c>
      <c r="B87" s="3" t="s">
        <v>417</v>
      </c>
      <c r="C87" s="3" t="s">
        <v>15</v>
      </c>
      <c r="D87" s="3" t="s">
        <v>460</v>
      </c>
      <c r="E87" s="3" t="s">
        <v>47</v>
      </c>
      <c r="F87" s="3" t="s">
        <v>604</v>
      </c>
      <c r="G87" s="3" t="s">
        <v>605</v>
      </c>
      <c r="H87" s="2">
        <v>4.47939055961E11</v>
      </c>
      <c r="I87" s="2">
        <v>4.47939055961E11</v>
      </c>
      <c r="J87" s="4" t="s">
        <v>100</v>
      </c>
    </row>
    <row r="88" spans="1:10" ht="15.75" customHeight="1" x14ac:dyDescent="0.15">
      <c r="A88" s="5">
        <v>46060.13260416667</v>
      </c>
      <c r="B88" s="3" t="s">
        <v>417</v>
      </c>
      <c r="C88" s="3" t="s">
        <v>15</v>
      </c>
      <c r="D88" s="3" t="s">
        <v>50</v>
      </c>
      <c r="E88" s="3" t="s">
        <v>47</v>
      </c>
      <c r="F88" s="3" t="s">
        <v>606</v>
      </c>
      <c r="G88" s="3" t="s">
        <v>607</v>
      </c>
      <c r="H88" s="2">
        <v>4.47466543101E11</v>
      </c>
      <c r="I88" s="2">
        <v>4.47466543101E11</v>
      </c>
      <c r="J88" s="4" t="s">
        <v>100</v>
      </c>
    </row>
    <row r="89" spans="1:10" ht="15.75" customHeight="1" x14ac:dyDescent="0.15">
      <c r="A89" s="5">
        <v>46060.349953703706</v>
      </c>
      <c r="B89" s="3" t="s">
        <v>417</v>
      </c>
      <c r="C89" s="3" t="s">
        <v>15</v>
      </c>
      <c r="D89" s="3" t="s">
        <v>50</v>
      </c>
      <c r="E89" s="3" t="s">
        <v>47</v>
      </c>
      <c r="F89" s="3" t="s">
        <v>608</v>
      </c>
      <c r="G89" s="3" t="s">
        <v>609</v>
      </c>
      <c r="H89" s="2">
        <v>4.47741317415E11</v>
      </c>
      <c r="I89" s="2">
        <v>4.47741317415E11</v>
      </c>
      <c r="J89" s="4" t="s">
        <v>100</v>
      </c>
    </row>
    <row r="90" spans="1:10" ht="15.75" customHeight="1" x14ac:dyDescent="0.15">
      <c r="A90" s="5">
        <v>46060.45243055555</v>
      </c>
      <c r="B90" s="3" t="s">
        <v>417</v>
      </c>
      <c r="C90" s="3" t="s">
        <v>15</v>
      </c>
      <c r="D90" s="3" t="s">
        <v>40</v>
      </c>
      <c r="E90" s="3" t="s">
        <v>418</v>
      </c>
      <c r="F90" s="3" t="s">
        <v>610</v>
      </c>
      <c r="G90" s="3" t="s">
        <v>611</v>
      </c>
      <c r="H90" s="2">
        <v>4.47552127744E11</v>
      </c>
      <c r="I90" s="2">
        <v>9.19909968788E11</v>
      </c>
      <c r="J90" s="4" t="s">
        <v>100</v>
      </c>
    </row>
    <row r="91" spans="1:10" ht="15.75" customHeight="1" x14ac:dyDescent="0.15">
      <c r="A91" s="5">
        <v>46060.49304398148</v>
      </c>
      <c r="B91" s="3" t="s">
        <v>417</v>
      </c>
      <c r="C91" s="3" t="s">
        <v>15</v>
      </c>
      <c r="D91" s="3" t="s">
        <v>421</v>
      </c>
      <c r="E91" s="3" t="s">
        <v>418</v>
      </c>
      <c r="F91" s="3" t="s">
        <v>612</v>
      </c>
      <c r="G91" s="3" t="s">
        <v>613</v>
      </c>
      <c r="H91" s="2">
        <v>2.54712892043E11</v>
      </c>
      <c r="I91" s="2">
        <v>2.5571052359E11</v>
      </c>
      <c r="J91" s="4" t="s">
        <v>614</v>
      </c>
    </row>
    <row r="92" spans="1:10" ht="15.75" customHeight="1" x14ac:dyDescent="0.15">
      <c r="A92" s="5">
        <v>46060.61357638889</v>
      </c>
      <c r="B92" s="3" t="s">
        <v>417</v>
      </c>
      <c r="C92" s="3" t="s">
        <v>15</v>
      </c>
      <c r="D92" s="3" t="s">
        <v>40</v>
      </c>
      <c r="E92" s="3" t="s">
        <v>41</v>
      </c>
      <c r="F92" s="3" t="s">
        <v>615</v>
      </c>
      <c r="G92" s="3" t="s">
        <v>616</v>
      </c>
      <c r="H92" s="2">
        <v>4.47549209994E11</v>
      </c>
      <c r="I92" s="2">
        <v>4.47721809019E11</v>
      </c>
      <c r="J92" s="4" t="s">
        <v>100</v>
      </c>
    </row>
    <row r="93" spans="1:10" ht="15.75" customHeight="1" x14ac:dyDescent="0.15">
      <c r="A93" s="5">
        <v>46060.681655092594</v>
      </c>
      <c r="B93" s="3" t="s">
        <v>417</v>
      </c>
      <c r="C93" s="3" t="s">
        <v>15</v>
      </c>
      <c r="D93" s="3" t="s">
        <v>421</v>
      </c>
      <c r="E93" s="3" t="s">
        <v>47</v>
      </c>
      <c r="F93" s="3" t="s">
        <v>617</v>
      </c>
      <c r="G93" s="3" t="s">
        <v>618</v>
      </c>
      <c r="H93" s="2">
        <v>4.47521043914E11</v>
      </c>
      <c r="I93" s="2">
        <v>4.47521043914E11</v>
      </c>
      <c r="J93" s="4" t="s">
        <v>100</v>
      </c>
    </row>
    <row r="94" spans="1:10" ht="15.75" customHeight="1" x14ac:dyDescent="0.15">
      <c r="A94" s="5">
        <v>46060.69211805556</v>
      </c>
      <c r="B94" s="3" t="s">
        <v>417</v>
      </c>
      <c r="C94" s="3" t="s">
        <v>15</v>
      </c>
      <c r="D94" s="3" t="s">
        <v>50</v>
      </c>
      <c r="E94" s="3" t="s">
        <v>41</v>
      </c>
      <c r="F94" s="3" t="s">
        <v>619</v>
      </c>
      <c r="G94" s="3" t="s">
        <v>620</v>
      </c>
      <c r="H94" s="2">
        <v>4.47702454415E11</v>
      </c>
      <c r="I94" s="2">
        <v>4.47702454415E11</v>
      </c>
      <c r="J94" s="4" t="s">
        <v>621</v>
      </c>
    </row>
    <row r="95" spans="1:10" ht="15.75" customHeight="1" x14ac:dyDescent="0.15">
      <c r="A95" s="5">
        <v>46060.7412962963</v>
      </c>
      <c r="B95" s="3" t="s">
        <v>417</v>
      </c>
      <c r="C95" s="3" t="s">
        <v>15</v>
      </c>
      <c r="D95" s="3" t="s">
        <v>50</v>
      </c>
      <c r="E95" s="3" t="s">
        <v>51</v>
      </c>
      <c r="F95" s="3" t="s">
        <v>622</v>
      </c>
      <c r="G95" s="3" t="s">
        <v>623</v>
      </c>
      <c r="H95" s="2">
        <v>4.47942720345E11</v>
      </c>
      <c r="I95" s="2">
        <v>4.47942720345E11</v>
      </c>
      <c r="J95" s="4" t="s">
        <v>100</v>
      </c>
    </row>
    <row r="96" spans="1:10" ht="15.75" customHeight="1" x14ac:dyDescent="0.15">
      <c r="A96" s="5">
        <v>46060.85326388889</v>
      </c>
      <c r="B96" s="3" t="s">
        <v>417</v>
      </c>
      <c r="C96" s="3" t="s">
        <v>45</v>
      </c>
      <c r="D96" s="3" t="s">
        <v>40</v>
      </c>
      <c r="E96" s="3" t="s">
        <v>446</v>
      </c>
      <c r="F96" s="3" t="s">
        <v>624</v>
      </c>
      <c r="G96" s="3" t="s">
        <v>625</v>
      </c>
      <c r="H96" s="2">
        <v>4.47304322304E11</v>
      </c>
      <c r="I96" s="2" t="s">
        <v>626</v>
      </c>
      <c r="J96" s="4" t="s">
        <v>100</v>
      </c>
    </row>
    <row r="97" spans="1:10" ht="15.75" customHeight="1" x14ac:dyDescent="0.15">
      <c r="A97" s="5">
        <v>46060.85449074074</v>
      </c>
      <c r="B97" s="3" t="s">
        <v>417</v>
      </c>
      <c r="C97" s="3" t="s">
        <v>15</v>
      </c>
      <c r="D97" s="3" t="s">
        <v>50</v>
      </c>
      <c r="E97" s="3" t="s">
        <v>47</v>
      </c>
      <c r="F97" s="3" t="s">
        <v>627</v>
      </c>
      <c r="G97" s="3" t="s">
        <v>628</v>
      </c>
      <c r="H97" s="2">
        <v>4.47429583901E11</v>
      </c>
      <c r="I97" s="2">
        <v>4.47429583901E11</v>
      </c>
      <c r="J97" s="4" t="s">
        <v>100</v>
      </c>
    </row>
    <row r="98" spans="1:10" ht="15.75" customHeight="1" x14ac:dyDescent="0.15">
      <c r="A98" s="5">
        <v>46060.884930555556</v>
      </c>
      <c r="B98" s="3" t="s">
        <v>417</v>
      </c>
      <c r="C98" s="3" t="s">
        <v>15</v>
      </c>
      <c r="D98" s="3" t="s">
        <v>50</v>
      </c>
      <c r="E98" s="3" t="s">
        <v>51</v>
      </c>
      <c r="F98" s="3" t="s">
        <v>629</v>
      </c>
      <c r="G98" s="3" t="s">
        <v>630</v>
      </c>
      <c r="H98" s="2">
        <v>4.47830281952E11</v>
      </c>
      <c r="I98" s="2">
        <v>4.47979223416E11</v>
      </c>
      <c r="J98" s="4" t="s">
        <v>100</v>
      </c>
    </row>
    <row r="99" spans="1:10" ht="15.75" customHeight="1" x14ac:dyDescent="0.15">
      <c r="A99" s="5">
        <v>46060.958657407406</v>
      </c>
      <c r="B99" s="3" t="s">
        <v>417</v>
      </c>
      <c r="C99" s="3" t="s">
        <v>15</v>
      </c>
      <c r="D99" s="3" t="s">
        <v>40</v>
      </c>
      <c r="E99" s="3" t="s">
        <v>41</v>
      </c>
      <c r="F99" s="3" t="s">
        <v>631</v>
      </c>
      <c r="G99" s="3" t="s">
        <v>632</v>
      </c>
      <c r="H99" s="2">
        <v>4.47448218518E11</v>
      </c>
      <c r="I99" s="2">
        <v>4.47448218518E11</v>
      </c>
      <c r="J99" s="4" t="s">
        <v>100</v>
      </c>
    </row>
    <row r="100" spans="1:10" ht="15.75" customHeight="1" x14ac:dyDescent="0.15">
      <c r="A100" s="5">
        <v>46060.99107638889</v>
      </c>
      <c r="B100" s="3" t="s">
        <v>417</v>
      </c>
      <c r="C100" s="3" t="s">
        <v>15</v>
      </c>
      <c r="D100" s="3" t="s">
        <v>50</v>
      </c>
      <c r="E100" s="3" t="s">
        <v>446</v>
      </c>
      <c r="F100" s="3" t="s">
        <v>633</v>
      </c>
      <c r="G100" s="3" t="s">
        <v>634</v>
      </c>
      <c r="H100" s="2">
        <v>4.4746399119E11</v>
      </c>
      <c r="I100" s="2">
        <v>4.4746399119E11</v>
      </c>
      <c r="J100" s="4" t="s">
        <v>100</v>
      </c>
    </row>
    <row r="101" spans="1:10" ht="15.75" customHeight="1" x14ac:dyDescent="0.15">
      <c r="A101" s="5">
        <v>46061.08476851852</v>
      </c>
      <c r="B101" s="3" t="s">
        <v>417</v>
      </c>
      <c r="C101" s="3" t="s">
        <v>15</v>
      </c>
      <c r="D101" s="3" t="s">
        <v>46</v>
      </c>
      <c r="E101" s="3" t="s">
        <v>47</v>
      </c>
      <c r="F101" s="3" t="s">
        <v>635</v>
      </c>
      <c r="G101" s="3" t="s">
        <v>636</v>
      </c>
      <c r="H101" s="2">
        <v>4.47956055007E11</v>
      </c>
      <c r="I101" s="2">
        <v>4.47956055007E11</v>
      </c>
      <c r="J101" s="4" t="s">
        <v>100</v>
      </c>
    </row>
    <row r="102" spans="1:10" ht="15.75" customHeight="1" x14ac:dyDescent="0.15">
      <c r="A102" s="5">
        <v>46061.16259259259</v>
      </c>
      <c r="B102" s="3" t="s">
        <v>417</v>
      </c>
      <c r="C102" s="3" t="s">
        <v>15</v>
      </c>
      <c r="D102" s="3" t="s">
        <v>46</v>
      </c>
      <c r="E102" s="3" t="s">
        <v>47</v>
      </c>
      <c r="F102" s="3" t="s">
        <v>637</v>
      </c>
      <c r="G102" s="3" t="s">
        <v>638</v>
      </c>
      <c r="H102" s="2">
        <v>4.47405832186E11</v>
      </c>
      <c r="I102" s="2">
        <v>4.47405832186E11</v>
      </c>
      <c r="J102" s="4" t="s">
        <v>150</v>
      </c>
    </row>
    <row r="103" spans="1:10" ht="15.75" customHeight="1" x14ac:dyDescent="0.15">
      <c r="A103" s="5">
        <v>46061.64121527778</v>
      </c>
      <c r="B103" s="3" t="s">
        <v>417</v>
      </c>
      <c r="C103" s="3" t="s">
        <v>15</v>
      </c>
      <c r="D103" s="3" t="s">
        <v>50</v>
      </c>
      <c r="E103" s="3" t="s">
        <v>418</v>
      </c>
      <c r="F103" s="3" t="s">
        <v>639</v>
      </c>
      <c r="G103" s="3" t="s">
        <v>640</v>
      </c>
      <c r="H103" s="2">
        <v>1.3052974174E10</v>
      </c>
      <c r="I103" s="2">
        <v>1.3052974174E10</v>
      </c>
      <c r="J103" s="4" t="s">
        <v>89</v>
      </c>
    </row>
    <row r="104" spans="1:10" ht="15.75" customHeight="1" x14ac:dyDescent="0.15">
      <c r="A104" s="5">
        <v>46061.6575</v>
      </c>
      <c r="B104" s="3" t="s">
        <v>417</v>
      </c>
      <c r="C104" s="3" t="s">
        <v>15</v>
      </c>
      <c r="D104" s="3" t="s">
        <v>40</v>
      </c>
      <c r="E104" s="3" t="s">
        <v>41</v>
      </c>
      <c r="F104" s="3" t="s">
        <v>641</v>
      </c>
      <c r="G104" s="3" t="s">
        <v>642</v>
      </c>
      <c r="H104" s="2">
        <v>4.4794635687E11</v>
      </c>
      <c r="I104" s="2">
        <v>4.4794635687E11</v>
      </c>
      <c r="J104" s="4" t="s">
        <v>100</v>
      </c>
    </row>
    <row r="105" spans="1:10" ht="15.75" customHeight="1" x14ac:dyDescent="0.15">
      <c r="A105" s="5">
        <v>46061.73097222222</v>
      </c>
      <c r="B105" s="3" t="s">
        <v>417</v>
      </c>
      <c r="C105" s="3" t="s">
        <v>15</v>
      </c>
      <c r="D105" s="3" t="s">
        <v>421</v>
      </c>
      <c r="E105" s="3" t="s">
        <v>41</v>
      </c>
      <c r="F105" s="3" t="s">
        <v>643</v>
      </c>
      <c r="G105" s="3" t="s">
        <v>644</v>
      </c>
      <c r="H105" s="2">
        <v>4.47572454829E11</v>
      </c>
      <c r="I105" s="2">
        <v>4.47572454829E11</v>
      </c>
      <c r="J105" s="4" t="s">
        <v>100</v>
      </c>
    </row>
    <row r="106" spans="1:10" ht="15.75" customHeight="1" x14ac:dyDescent="0.15">
      <c r="A106" s="5">
        <v>46061.772511574076</v>
      </c>
      <c r="B106" s="3" t="s">
        <v>417</v>
      </c>
      <c r="C106" s="3" t="s">
        <v>15</v>
      </c>
      <c r="D106" s="3" t="s">
        <v>40</v>
      </c>
      <c r="E106" s="3" t="s">
        <v>51</v>
      </c>
      <c r="F106" s="3" t="s">
        <v>645</v>
      </c>
      <c r="G106" s="3" t="s">
        <v>646</v>
      </c>
      <c r="H106" s="2">
        <v>9.3788555655E10</v>
      </c>
      <c r="I106" s="2">
        <v>9.3788555655E10</v>
      </c>
      <c r="J106" s="4" t="s">
        <v>100</v>
      </c>
    </row>
    <row r="107" spans="1:10" ht="15.75" customHeight="1" x14ac:dyDescent="0.15">
      <c r="A107" s="5">
        <v>46061.78162037037</v>
      </c>
      <c r="B107" s="3" t="s">
        <v>417</v>
      </c>
      <c r="C107" s="3" t="s">
        <v>15</v>
      </c>
      <c r="D107" s="3" t="s">
        <v>421</v>
      </c>
      <c r="E107" s="3" t="s">
        <v>47</v>
      </c>
      <c r="F107" s="3" t="s">
        <v>647</v>
      </c>
      <c r="G107" s="3" t="s">
        <v>648</v>
      </c>
      <c r="H107" s="2">
        <v>4.47448962435E11</v>
      </c>
      <c r="I107" s="2">
        <v>4.47448962435E11</v>
      </c>
      <c r="J107" s="4" t="s">
        <v>100</v>
      </c>
    </row>
    <row r="108" spans="1:10" ht="15.75" customHeight="1" x14ac:dyDescent="0.15">
      <c r="A108" s="5">
        <v>46061.82513888889</v>
      </c>
      <c r="B108" s="3" t="s">
        <v>417</v>
      </c>
      <c r="C108" s="3" t="s">
        <v>15</v>
      </c>
      <c r="D108" s="3" t="s">
        <v>421</v>
      </c>
      <c r="E108" s="3" t="s">
        <v>446</v>
      </c>
      <c r="F108" s="3" t="s">
        <v>649</v>
      </c>
      <c r="G108" s="3" t="s">
        <v>650</v>
      </c>
      <c r="H108" s="2">
        <v>4.47898717548E11</v>
      </c>
      <c r="I108" s="2">
        <v>4.47484819586E11</v>
      </c>
      <c r="J108" s="4" t="s">
        <v>100</v>
      </c>
    </row>
    <row r="109" spans="1:10" ht="15.75" customHeight="1" x14ac:dyDescent="0.15">
      <c r="A109" s="5">
        <v>46061.83892361111</v>
      </c>
      <c r="B109" s="3" t="s">
        <v>417</v>
      </c>
      <c r="C109" s="3" t="s">
        <v>15</v>
      </c>
      <c r="D109" s="3" t="s">
        <v>40</v>
      </c>
      <c r="E109" s="3" t="s">
        <v>418</v>
      </c>
      <c r="F109" s="3" t="s">
        <v>651</v>
      </c>
      <c r="G109" s="3" t="s">
        <v>652</v>
      </c>
      <c r="H109" s="2">
        <v>4.47790314597E11</v>
      </c>
      <c r="I109" s="2">
        <v>4.47790314597E11</v>
      </c>
      <c r="J109" s="4" t="s">
        <v>100</v>
      </c>
    </row>
    <row r="110" spans="1:10" ht="15.75" customHeight="1" x14ac:dyDescent="0.15">
      <c r="A110" s="5">
        <v>46061.97552083333</v>
      </c>
      <c r="B110" s="3" t="s">
        <v>417</v>
      </c>
      <c r="C110" s="3" t="s">
        <v>15</v>
      </c>
      <c r="D110" s="3" t="s">
        <v>46</v>
      </c>
      <c r="E110" s="3" t="s">
        <v>446</v>
      </c>
      <c r="F110" s="3" t="s">
        <v>653</v>
      </c>
      <c r="G110" s="3" t="s">
        <v>654</v>
      </c>
      <c r="H110" s="2">
        <v>4.47951238165E11</v>
      </c>
      <c r="I110" s="2">
        <v>4.47951238165E11</v>
      </c>
      <c r="J110" s="4" t="s">
        <v>100</v>
      </c>
    </row>
    <row r="111" spans="1:10" ht="15.75" customHeight="1" x14ac:dyDescent="0.15">
      <c r="A111" s="5">
        <v>46062.03082175926</v>
      </c>
      <c r="B111" s="3" t="s">
        <v>417</v>
      </c>
      <c r="C111" s="3" t="s">
        <v>45</v>
      </c>
      <c r="D111" s="3" t="s">
        <v>50</v>
      </c>
      <c r="E111" s="3" t="s">
        <v>51</v>
      </c>
      <c r="F111" s="3" t="s">
        <v>655</v>
      </c>
      <c r="G111" s="3" t="s">
        <v>656</v>
      </c>
      <c r="H111" s="2">
        <v>9.71543377005E11</v>
      </c>
      <c r="I111" s="2">
        <v>4.47957277005E11</v>
      </c>
      <c r="J111" s="4" t="s">
        <v>100</v>
      </c>
    </row>
    <row r="112" spans="1:10" ht="15.75" customHeight="1" x14ac:dyDescent="0.15">
      <c r="A112" s="5">
        <v>46062.06930555555</v>
      </c>
      <c r="B112" s="3" t="s">
        <v>417</v>
      </c>
      <c r="C112" s="3" t="s">
        <v>15</v>
      </c>
      <c r="D112" s="3" t="s">
        <v>50</v>
      </c>
      <c r="E112" s="3" t="s">
        <v>41</v>
      </c>
      <c r="F112" s="3" t="s">
        <v>657</v>
      </c>
      <c r="G112" s="3" t="s">
        <v>658</v>
      </c>
      <c r="H112" s="2">
        <v>4.47555039255E11</v>
      </c>
      <c r="I112" s="2">
        <v>4.47555039255E11</v>
      </c>
      <c r="J112" s="4" t="s">
        <v>100</v>
      </c>
    </row>
    <row r="113" spans="1:10" ht="15.75" customHeight="1" x14ac:dyDescent="0.15">
      <c r="A113" s="5">
        <v>46062.09056712963</v>
      </c>
      <c r="B113" s="3" t="s">
        <v>417</v>
      </c>
      <c r="C113" s="3" t="s">
        <v>15</v>
      </c>
      <c r="D113" s="3" t="s">
        <v>460</v>
      </c>
      <c r="E113" s="3" t="s">
        <v>418</v>
      </c>
      <c r="F113" s="3" t="s">
        <v>659</v>
      </c>
      <c r="G113" s="3" t="s">
        <v>660</v>
      </c>
      <c r="H113" s="2">
        <v>4.47956612071E11</v>
      </c>
      <c r="I113" s="2">
        <v>9.71505343655E11</v>
      </c>
      <c r="J113" s="4" t="s">
        <v>100</v>
      </c>
    </row>
    <row r="114" spans="1:10" ht="15.75" customHeight="1" x14ac:dyDescent="0.15">
      <c r="A114" s="5">
        <v>46062.84943287037</v>
      </c>
      <c r="B114" s="3" t="s">
        <v>417</v>
      </c>
      <c r="C114" s="3" t="s">
        <v>15</v>
      </c>
      <c r="D114" s="3" t="s">
        <v>421</v>
      </c>
      <c r="E114" s="3" t="s">
        <v>446</v>
      </c>
      <c r="F114" s="3" t="s">
        <v>661</v>
      </c>
      <c r="G114" s="3" t="s">
        <v>662</v>
      </c>
      <c r="H114" s="2">
        <v>3.93348350099E11</v>
      </c>
      <c r="I114" s="2">
        <v>3.93348350099E11</v>
      </c>
      <c r="J114" s="4" t="s">
        <v>590</v>
      </c>
    </row>
    <row r="115" spans="1:10" ht="15.75" customHeight="1" x14ac:dyDescent="0.15">
      <c r="A115" s="5">
        <v>46062.903495370374</v>
      </c>
      <c r="B115" s="3" t="s">
        <v>417</v>
      </c>
      <c r="C115" s="3" t="s">
        <v>15</v>
      </c>
      <c r="D115" s="3" t="s">
        <v>40</v>
      </c>
      <c r="E115" s="3" t="s">
        <v>418</v>
      </c>
      <c r="F115" s="3" t="s">
        <v>663</v>
      </c>
      <c r="G115" s="3" t="s">
        <v>664</v>
      </c>
      <c r="H115" s="2">
        <v>4.47449281851E11</v>
      </c>
      <c r="I115" s="2">
        <v>4.47449281851E11</v>
      </c>
      <c r="J115" s="4" t="s">
        <v>100</v>
      </c>
    </row>
    <row r="116" spans="1:10" ht="15.75" customHeight="1" x14ac:dyDescent="0.15">
      <c r="A116" s="5">
        <v>46063.51550925926</v>
      </c>
      <c r="B116" s="3" t="s">
        <v>417</v>
      </c>
      <c r="C116" s="3" t="s">
        <v>15</v>
      </c>
      <c r="D116" s="3" t="s">
        <v>50</v>
      </c>
      <c r="E116" s="3" t="s">
        <v>446</v>
      </c>
      <c r="F116" s="3" t="s">
        <v>665</v>
      </c>
      <c r="G116" s="3" t="s">
        <v>666</v>
      </c>
      <c r="H116" s="2">
        <v>4.4790138363E11</v>
      </c>
      <c r="I116" s="2">
        <v>4.4790138363E11</v>
      </c>
      <c r="J116" s="4" t="s">
        <v>667</v>
      </c>
    </row>
    <row r="117" spans="1:10" ht="15.75" customHeight="1" x14ac:dyDescent="0.15">
      <c r="A117" s="5">
        <v>46063.60954861111</v>
      </c>
      <c r="B117" s="3" t="s">
        <v>417</v>
      </c>
      <c r="C117" s="3" t="s">
        <v>15</v>
      </c>
      <c r="D117" s="3" t="s">
        <v>421</v>
      </c>
      <c r="E117" s="3" t="s">
        <v>446</v>
      </c>
      <c r="F117" s="3" t="s">
        <v>668</v>
      </c>
      <c r="G117" s="3" t="s">
        <v>669</v>
      </c>
      <c r="H117" s="2">
        <v>4.47746008004E11</v>
      </c>
      <c r="I117" s="2">
        <v>4.47746008004E11</v>
      </c>
      <c r="J117" s="4" t="s">
        <v>100</v>
      </c>
    </row>
    <row r="118" spans="1:10" ht="15.75" customHeight="1" x14ac:dyDescent="0.15">
      <c r="A118" s="5">
        <v>46063.67517361111</v>
      </c>
      <c r="B118" s="3" t="s">
        <v>417</v>
      </c>
      <c r="C118" s="3" t="s">
        <v>15</v>
      </c>
      <c r="D118" s="3" t="s">
        <v>50</v>
      </c>
      <c r="E118" s="3" t="s">
        <v>418</v>
      </c>
      <c r="F118" s="3" t="s">
        <v>670</v>
      </c>
      <c r="G118" s="3" t="s">
        <v>671</v>
      </c>
      <c r="H118" s="2">
        <v>4.47984161087E11</v>
      </c>
      <c r="I118" s="2">
        <v>4.47984161087E11</v>
      </c>
      <c r="J118" s="4" t="s">
        <v>100</v>
      </c>
    </row>
    <row r="119" spans="1:10" ht="15.75" customHeight="1" x14ac:dyDescent="0.15">
      <c r="A119" s="5">
        <v>46063.70586805556</v>
      </c>
      <c r="B119" s="3" t="s">
        <v>417</v>
      </c>
      <c r="C119" s="3" t="s">
        <v>15</v>
      </c>
      <c r="D119" s="3" t="s">
        <v>50</v>
      </c>
      <c r="E119" s="3" t="s">
        <v>418</v>
      </c>
      <c r="F119" s="3" t="s">
        <v>672</v>
      </c>
      <c r="G119" s="3" t="s">
        <v>673</v>
      </c>
      <c r="H119" s="2">
        <v>4.47574879941E11</v>
      </c>
      <c r="I119" s="2">
        <v>4.47574879941E11</v>
      </c>
      <c r="J119" s="4" t="s">
        <v>621</v>
      </c>
    </row>
    <row r="120" spans="1:10" ht="15.75" customHeight="1" x14ac:dyDescent="0.15">
      <c r="A120" s="5">
        <v>46063.744525462964</v>
      </c>
      <c r="B120" s="3" t="s">
        <v>417</v>
      </c>
      <c r="C120" s="3" t="s">
        <v>15</v>
      </c>
      <c r="D120" s="3" t="s">
        <v>46</v>
      </c>
      <c r="E120" s="3" t="s">
        <v>446</v>
      </c>
      <c r="F120" s="3" t="s">
        <v>674</v>
      </c>
      <c r="G120" s="3" t="s">
        <v>675</v>
      </c>
      <c r="H120" s="2">
        <v>4.47800768682E11</v>
      </c>
      <c r="I120" s="2">
        <v>4.47800768682E11</v>
      </c>
      <c r="J120" s="4" t="s">
        <v>100</v>
      </c>
    </row>
    <row r="121" spans="1:10" ht="15.75" customHeight="1" x14ac:dyDescent="0.15">
      <c r="A121" s="5">
        <v>46063.895590277774</v>
      </c>
      <c r="B121" s="3" t="s">
        <v>417</v>
      </c>
      <c r="C121" s="3" t="s">
        <v>15</v>
      </c>
      <c r="D121" s="3" t="s">
        <v>421</v>
      </c>
      <c r="E121" s="3" t="s">
        <v>418</v>
      </c>
      <c r="F121" s="3" t="s">
        <v>676</v>
      </c>
      <c r="G121" s="3" t="s">
        <v>677</v>
      </c>
      <c r="H121" s="2">
        <v>4.47429092199E11</v>
      </c>
      <c r="I121" s="2">
        <v>4.47429092199E11</v>
      </c>
      <c r="J121" s="4" t="s">
        <v>100</v>
      </c>
    </row>
    <row r="122" spans="1:10" ht="15.75" customHeight="1" x14ac:dyDescent="0.15">
      <c r="A122" s="5">
        <v>46063.92071759259</v>
      </c>
      <c r="B122" s="3" t="s">
        <v>417</v>
      </c>
      <c r="C122" s="3" t="s">
        <v>45</v>
      </c>
      <c r="D122" s="3" t="s">
        <v>50</v>
      </c>
      <c r="E122" s="3" t="s">
        <v>418</v>
      </c>
      <c r="F122" s="3" t="s">
        <v>678</v>
      </c>
      <c r="G122" s="3" t="s">
        <v>679</v>
      </c>
      <c r="H122" s="2">
        <v>9.18153959787E11</v>
      </c>
      <c r="I122" s="2">
        <v>9.18156959787E11</v>
      </c>
      <c r="J122" s="4" t="s">
        <v>54</v>
      </c>
    </row>
    <row r="123" spans="1:10" ht="15.75" customHeight="1" x14ac:dyDescent="0.15">
      <c r="A123" s="5">
        <v>46063.11263888889</v>
      </c>
      <c r="B123" s="3" t="s">
        <v>417</v>
      </c>
      <c r="C123" s="3" t="s">
        <v>15</v>
      </c>
      <c r="D123" s="3" t="s">
        <v>46</v>
      </c>
      <c r="E123" s="3" t="s">
        <v>47</v>
      </c>
      <c r="F123" s="3" t="s">
        <v>680</v>
      </c>
      <c r="G123" s="3" t="s">
        <v>681</v>
      </c>
      <c r="H123" s="2">
        <v>4.4772501656E11</v>
      </c>
      <c r="I123" s="2">
        <v>4.4772501656E11</v>
      </c>
      <c r="J123" s="4" t="s">
        <v>100</v>
      </c>
    </row>
    <row r="124" spans="1:10" ht="15.75" customHeight="1" x14ac:dyDescent="0.15">
      <c r="A124" s="5">
        <v>46063.151770833334</v>
      </c>
      <c r="B124" s="3" t="s">
        <v>417</v>
      </c>
      <c r="C124" s="3" t="s">
        <v>15</v>
      </c>
      <c r="D124" s="3" t="s">
        <v>421</v>
      </c>
      <c r="E124" s="3" t="s">
        <v>41</v>
      </c>
      <c r="F124" s="3" t="s">
        <v>682</v>
      </c>
      <c r="G124" s="3" t="s">
        <v>683</v>
      </c>
      <c r="H124" s="2">
        <v>4.47452368907E11</v>
      </c>
      <c r="I124" s="2">
        <v>4.4742742654E11</v>
      </c>
      <c r="J124" s="4" t="s">
        <v>100</v>
      </c>
    </row>
    <row r="125" spans="1:10" ht="15.75" customHeight="1" x14ac:dyDescent="0.15">
      <c r="A125" s="5">
        <v>46064.72399305556</v>
      </c>
      <c r="B125" s="3" t="s">
        <v>417</v>
      </c>
      <c r="C125" s="3" t="s">
        <v>15</v>
      </c>
      <c r="D125" s="3" t="s">
        <v>50</v>
      </c>
      <c r="E125" s="3" t="s">
        <v>446</v>
      </c>
      <c r="F125" s="3" t="s">
        <v>684</v>
      </c>
      <c r="G125" s="3" t="s">
        <v>685</v>
      </c>
      <c r="H125" s="2">
        <v>4.47504001737E11</v>
      </c>
      <c r="I125" s="2">
        <v>4.47504001737E11</v>
      </c>
      <c r="J125" s="4" t="s">
        <v>100</v>
      </c>
    </row>
    <row r="126" spans="1:10" ht="15.75" customHeight="1" x14ac:dyDescent="0.15">
      <c r="A126" s="5">
        <v>46064.73746527778</v>
      </c>
      <c r="B126" s="3" t="s">
        <v>417</v>
      </c>
      <c r="C126" s="3" t="s">
        <v>15</v>
      </c>
      <c r="D126" s="3" t="s">
        <v>40</v>
      </c>
      <c r="E126" s="3" t="s">
        <v>418</v>
      </c>
      <c r="F126" s="3" t="s">
        <v>686</v>
      </c>
      <c r="G126" s="3" t="s">
        <v>687</v>
      </c>
      <c r="H126" s="2">
        <v>4.4771025347E11</v>
      </c>
      <c r="I126" s="2">
        <v>4.4771025347E11</v>
      </c>
      <c r="J126" s="4" t="s">
        <v>100</v>
      </c>
    </row>
    <row r="127" spans="1:10" ht="15.75" customHeight="1" x14ac:dyDescent="0.15">
      <c r="A127" s="5">
        <v>46064.94871527778</v>
      </c>
      <c r="B127" s="3" t="s">
        <v>417</v>
      </c>
      <c r="C127" s="3" t="s">
        <v>15</v>
      </c>
      <c r="D127" s="3" t="s">
        <v>421</v>
      </c>
      <c r="E127" s="3" t="s">
        <v>418</v>
      </c>
      <c r="F127" s="3" t="s">
        <v>48</v>
      </c>
      <c r="G127" s="3" t="s">
        <v>688</v>
      </c>
      <c r="H127" s="2">
        <v>4.47828938233E11</v>
      </c>
      <c r="I127" s="2">
        <v>4.47828938233E11</v>
      </c>
      <c r="J127" s="4" t="s">
        <v>100</v>
      </c>
    </row>
    <row r="128" spans="1:10" ht="15.75" customHeight="1" x14ac:dyDescent="0.15">
      <c r="A128" s="5">
        <v>46065.33251157407</v>
      </c>
      <c r="B128" s="3" t="s">
        <v>417</v>
      </c>
      <c r="C128" s="3" t="s">
        <v>45</v>
      </c>
      <c r="D128" s="3" t="s">
        <v>50</v>
      </c>
      <c r="E128" s="3" t="s">
        <v>47</v>
      </c>
      <c r="F128" s="3" t="s">
        <v>689</v>
      </c>
      <c r="G128" s="3" t="s">
        <v>690</v>
      </c>
      <c r="H128" s="2">
        <v>9.71506740082E11</v>
      </c>
      <c r="I128" s="2">
        <v>9.71506740082E11</v>
      </c>
      <c r="J128" s="4" t="s">
        <v>44</v>
      </c>
    </row>
    <row r="129" spans="1:10" ht="15.75" customHeight="1" x14ac:dyDescent="0.15">
      <c r="A129" s="5">
        <v>46065.4162037037</v>
      </c>
      <c r="B129" s="3" t="s">
        <v>417</v>
      </c>
      <c r="C129" s="3" t="s">
        <v>45</v>
      </c>
      <c r="D129" s="3" t="s">
        <v>40</v>
      </c>
      <c r="E129" s="3" t="s">
        <v>418</v>
      </c>
      <c r="F129" s="3" t="s">
        <v>691</v>
      </c>
      <c r="G129" s="3" t="s">
        <v>692</v>
      </c>
      <c r="H129" s="2">
        <v>4.4744881485E11</v>
      </c>
      <c r="I129" s="2">
        <v>7.44881485E9</v>
      </c>
      <c r="J129" s="4" t="s">
        <v>100</v>
      </c>
    </row>
    <row r="130" spans="1:10" ht="15.75" customHeight="1" x14ac:dyDescent="0.15">
      <c r="A130" s="5">
        <v>46065.546944444446</v>
      </c>
      <c r="B130" s="3" t="s">
        <v>417</v>
      </c>
      <c r="C130" s="3" t="s">
        <v>15</v>
      </c>
      <c r="D130" s="3" t="s">
        <v>50</v>
      </c>
      <c r="E130" s="3" t="s">
        <v>41</v>
      </c>
      <c r="F130" s="3" t="s">
        <v>693</v>
      </c>
      <c r="G130" s="3" t="s">
        <v>694</v>
      </c>
      <c r="H130" s="2">
        <v>9.66503023539E11</v>
      </c>
      <c r="I130" s="2">
        <v>4.47971887438E11</v>
      </c>
      <c r="J130" s="4" t="s">
        <v>100</v>
      </c>
    </row>
    <row r="131" spans="1:10" ht="15.75" customHeight="1" x14ac:dyDescent="0.15">
      <c r="A131" s="5">
        <v>46065.801030092596</v>
      </c>
      <c r="B131" s="3" t="s">
        <v>417</v>
      </c>
      <c r="C131" s="3" t="s">
        <v>15</v>
      </c>
      <c r="D131" s="3" t="s">
        <v>46</v>
      </c>
      <c r="E131" s="3" t="s">
        <v>446</v>
      </c>
      <c r="F131" s="3" t="s">
        <v>695</v>
      </c>
      <c r="G131" s="3" t="s">
        <v>696</v>
      </c>
      <c r="H131" s="2">
        <v>4.47875122226E11</v>
      </c>
      <c r="I131" s="2">
        <v>4.41216496719E11</v>
      </c>
      <c r="J131" s="4" t="s">
        <v>100</v>
      </c>
    </row>
    <row r="132" spans="1:10" ht="15.75" customHeight="1" x14ac:dyDescent="0.15">
      <c r="A132" s="5">
        <v>46065.80537037037</v>
      </c>
      <c r="B132" s="3" t="s">
        <v>417</v>
      </c>
      <c r="C132" s="3" t="s">
        <v>15</v>
      </c>
      <c r="D132" s="3" t="s">
        <v>40</v>
      </c>
      <c r="E132" s="3" t="s">
        <v>446</v>
      </c>
      <c r="F132" s="3" t="s">
        <v>697</v>
      </c>
      <c r="G132" s="3" t="s">
        <v>698</v>
      </c>
      <c r="H132" s="2">
        <v>4.47344293152E11</v>
      </c>
      <c r="I132" s="2">
        <v>4.47774243315E11</v>
      </c>
      <c r="J132" s="4" t="s">
        <v>100</v>
      </c>
    </row>
    <row r="133" spans="1:10" ht="15.75" customHeight="1" x14ac:dyDescent="0.15">
      <c r="A133" s="5">
        <v>46065.823275462964</v>
      </c>
      <c r="B133" s="3" t="s">
        <v>417</v>
      </c>
      <c r="C133" s="3" t="s">
        <v>15</v>
      </c>
      <c r="D133" s="3" t="s">
        <v>50</v>
      </c>
      <c r="E133" s="3" t="s">
        <v>418</v>
      </c>
      <c r="F133" s="3" t="s">
        <v>699</v>
      </c>
      <c r="G133" s="3" t="s">
        <v>700</v>
      </c>
      <c r="H133" s="2">
        <v>4.47424344596E11</v>
      </c>
      <c r="I133" s="2">
        <v>4.47424344596E11</v>
      </c>
      <c r="J133" s="4" t="s">
        <v>100</v>
      </c>
    </row>
    <row r="134" spans="1:10" ht="15.75" customHeight="1" x14ac:dyDescent="0.15">
      <c r="A134" s="5">
        <v>46065.916979166665</v>
      </c>
      <c r="B134" s="3" t="s">
        <v>417</v>
      </c>
      <c r="C134" s="3" t="s">
        <v>15</v>
      </c>
      <c r="D134" s="3" t="s">
        <v>40</v>
      </c>
      <c r="E134" s="3" t="s">
        <v>47</v>
      </c>
      <c r="F134" s="3" t="s">
        <v>701</v>
      </c>
      <c r="G134" s="3" t="s">
        <v>702</v>
      </c>
      <c r="H134" s="2">
        <v>4.47349818372E11</v>
      </c>
      <c r="I134" s="2">
        <v>1.7349818372E10</v>
      </c>
      <c r="J134" s="4" t="s">
        <v>100</v>
      </c>
    </row>
    <row r="135" spans="1:10" ht="15.75" customHeight="1" x14ac:dyDescent="0.15">
      <c r="A135" s="5">
        <v>46066.12900462963</v>
      </c>
      <c r="B135" s="3" t="s">
        <v>417</v>
      </c>
      <c r="C135" s="3" t="s">
        <v>15</v>
      </c>
      <c r="D135" s="3" t="s">
        <v>40</v>
      </c>
      <c r="E135" s="3" t="s">
        <v>47</v>
      </c>
      <c r="F135" s="3" t="s">
        <v>703</v>
      </c>
      <c r="G135" s="3" t="s">
        <v>704</v>
      </c>
      <c r="H135" s="2">
        <v>4.47741061162E11</v>
      </c>
      <c r="I135" s="2">
        <v>4.47741060162E11</v>
      </c>
      <c r="J135" s="4" t="s">
        <v>100</v>
      </c>
    </row>
    <row r="136" spans="1:10" ht="15.75" customHeight="1" x14ac:dyDescent="0.15">
      <c r="A136" s="5">
        <v>46066.52394675926</v>
      </c>
      <c r="B136" s="3" t="s">
        <v>417</v>
      </c>
      <c r="C136" s="3" t="s">
        <v>15</v>
      </c>
      <c r="D136" s="3" t="s">
        <v>40</v>
      </c>
      <c r="E136" s="3" t="s">
        <v>47</v>
      </c>
      <c r="F136" s="3" t="s">
        <v>705</v>
      </c>
      <c r="G136" s="3" t="s">
        <v>706</v>
      </c>
      <c r="H136" s="2">
        <v>4.47539993874E11</v>
      </c>
      <c r="I136" s="2">
        <v>4.47539993874E11</v>
      </c>
      <c r="J136" s="4" t="s">
        <v>100</v>
      </c>
    </row>
    <row r="137" spans="1:10" ht="15.75" customHeight="1" x14ac:dyDescent="0.15">
      <c r="A137" s="5">
        <v>46066.690671296295</v>
      </c>
      <c r="B137" s="3" t="s">
        <v>417</v>
      </c>
      <c r="C137" s="3" t="s">
        <v>15</v>
      </c>
      <c r="D137" s="3" t="s">
        <v>50</v>
      </c>
      <c r="E137" s="3" t="s">
        <v>47</v>
      </c>
      <c r="F137" s="3" t="s">
        <v>707</v>
      </c>
      <c r="G137" s="3" t="s">
        <v>708</v>
      </c>
      <c r="H137" s="2">
        <v>4.4794671674E11</v>
      </c>
      <c r="I137" s="2">
        <v>4.4794671674E11</v>
      </c>
      <c r="J137" s="4" t="s">
        <v>709</v>
      </c>
    </row>
    <row r="138" spans="1:10" ht="15.75" customHeight="1" x14ac:dyDescent="0.15">
      <c r="A138" s="5">
        <v>46066.71934027778</v>
      </c>
      <c r="B138" s="3" t="s">
        <v>417</v>
      </c>
      <c r="C138" s="3" t="s">
        <v>15</v>
      </c>
      <c r="D138" s="3" t="s">
        <v>50</v>
      </c>
      <c r="E138" s="3" t="s">
        <v>47</v>
      </c>
      <c r="F138" s="3" t="s">
        <v>710</v>
      </c>
      <c r="G138" s="3" t="s">
        <v>711</v>
      </c>
      <c r="H138" s="2">
        <v>3.4643404051E10</v>
      </c>
      <c r="I138" s="2">
        <v>4.47818070463E11</v>
      </c>
      <c r="J138" s="4" t="s">
        <v>100</v>
      </c>
    </row>
    <row r="139" spans="1:10" ht="15.75" customHeight="1" x14ac:dyDescent="0.15">
      <c r="A139" s="5">
        <v>46066.7325462963</v>
      </c>
      <c r="B139" s="3" t="s">
        <v>417</v>
      </c>
      <c r="C139" s="3" t="s">
        <v>15</v>
      </c>
      <c r="D139" s="3" t="s">
        <v>40</v>
      </c>
      <c r="E139" s="3" t="s">
        <v>446</v>
      </c>
      <c r="F139" s="3" t="s">
        <v>712</v>
      </c>
      <c r="G139" s="3" t="s">
        <v>713</v>
      </c>
      <c r="H139" s="2">
        <v>4.47446832077E11</v>
      </c>
      <c r="I139" s="2">
        <v>4.47446832077E11</v>
      </c>
      <c r="J139" s="4" t="s">
        <v>100</v>
      </c>
    </row>
    <row r="140" spans="1:10" ht="15.75" customHeight="1" x14ac:dyDescent="0.15">
      <c r="A140" s="5">
        <v>46067.02673611111</v>
      </c>
      <c r="B140" s="3" t="s">
        <v>417</v>
      </c>
      <c r="C140" s="3" t="s">
        <v>15</v>
      </c>
      <c r="D140" s="3" t="s">
        <v>40</v>
      </c>
      <c r="E140" s="3" t="s">
        <v>41</v>
      </c>
      <c r="F140" s="3" t="s">
        <v>714</v>
      </c>
      <c r="G140" s="3" t="s">
        <v>715</v>
      </c>
      <c r="H140" s="2">
        <v>4.47703787575E11</v>
      </c>
      <c r="I140" s="2">
        <v>4.47703787575E11</v>
      </c>
      <c r="J140" s="4" t="s">
        <v>100</v>
      </c>
    </row>
    <row r="141" spans="1:10" ht="15.75" customHeight="1" x14ac:dyDescent="0.15">
      <c r="A141" s="5">
        <v>46076.053298611114</v>
      </c>
      <c r="B141" s="3" t="s">
        <v>417</v>
      </c>
      <c r="C141" s="3" t="s">
        <v>15</v>
      </c>
      <c r="D141" s="3" t="s">
        <v>46</v>
      </c>
      <c r="E141" s="3" t="s">
        <v>47</v>
      </c>
      <c r="F141" s="3" t="s">
        <v>716</v>
      </c>
      <c r="G141" s="3" t="s">
        <v>717</v>
      </c>
      <c r="H141" s="2">
        <v>4.4792945648E11</v>
      </c>
      <c r="I141" s="2">
        <v>4.4792945648E11</v>
      </c>
      <c r="J141" s="4" t="s">
        <v>100</v>
      </c>
    </row>
    <row r="142" spans="1:10" ht="15.75" customHeight="1" x14ac:dyDescent="0.15">
      <c r="A142" s="5">
        <v>46076.153020833335</v>
      </c>
      <c r="B142" s="3" t="s">
        <v>417</v>
      </c>
      <c r="C142" s="3" t="s">
        <v>15</v>
      </c>
      <c r="D142" s="3" t="s">
        <v>40</v>
      </c>
      <c r="E142" s="3" t="s">
        <v>446</v>
      </c>
      <c r="F142" s="3" t="s">
        <v>718</v>
      </c>
      <c r="G142" s="3" t="s">
        <v>719</v>
      </c>
      <c r="H142" s="2">
        <v>4.47715883492E11</v>
      </c>
      <c r="I142" s="2">
        <v>4.47715883492E11</v>
      </c>
      <c r="J142" s="4" t="s">
        <v>100</v>
      </c>
    </row>
    <row r="143" spans="1:10" ht="15.75" customHeight="1" x14ac:dyDescent="0.15">
      <c r="A143" s="5">
        <v>46076.2424537037</v>
      </c>
      <c r="B143" s="3" t="s">
        <v>417</v>
      </c>
      <c r="C143" s="3" t="s">
        <v>15</v>
      </c>
      <c r="D143" s="3" t="s">
        <v>421</v>
      </c>
      <c r="E143" s="3" t="s">
        <v>51</v>
      </c>
      <c r="F143" s="3" t="s">
        <v>720</v>
      </c>
      <c r="G143" s="3" t="s">
        <v>721</v>
      </c>
      <c r="H143" s="2">
        <v>4.47940077363E11</v>
      </c>
      <c r="I143" s="2">
        <v>4.47940077363E11</v>
      </c>
      <c r="J143" s="4" t="s">
        <v>100</v>
      </c>
    </row>
    <row r="144" spans="1:10" ht="15.75" customHeight="1" x14ac:dyDescent="0.15">
      <c r="A144" s="5">
        <v>46076.35387731482</v>
      </c>
      <c r="B144" s="3" t="s">
        <v>417</v>
      </c>
      <c r="C144" s="3" t="s">
        <v>15</v>
      </c>
      <c r="D144" s="3" t="s">
        <v>50</v>
      </c>
      <c r="E144" s="3" t="s">
        <v>418</v>
      </c>
      <c r="F144" s="3" t="s">
        <v>722</v>
      </c>
      <c r="G144" s="3" t="s">
        <v>723</v>
      </c>
      <c r="H144" s="2">
        <v>4.47950811381E11</v>
      </c>
      <c r="I144" s="2">
        <v>4.47950811381E11</v>
      </c>
      <c r="J144" s="4" t="s">
        <v>100</v>
      </c>
    </row>
    <row r="145" spans="1:10" ht="15.75" customHeight="1" x14ac:dyDescent="0.15">
      <c r="A145" s="5">
        <v>46076.39575231481</v>
      </c>
      <c r="B145" s="3" t="s">
        <v>417</v>
      </c>
      <c r="C145" s="3" t="s">
        <v>15</v>
      </c>
      <c r="D145" s="3" t="s">
        <v>40</v>
      </c>
      <c r="E145" s="3" t="s">
        <v>446</v>
      </c>
      <c r="F145" s="3" t="s">
        <v>724</v>
      </c>
      <c r="G145" s="3" t="s">
        <v>725</v>
      </c>
      <c r="H145" s="2">
        <v>4.47447045276E11</v>
      </c>
      <c r="I145" s="2">
        <v>4.47447045275E11</v>
      </c>
      <c r="J145" s="4" t="s">
        <v>100</v>
      </c>
    </row>
    <row r="146" spans="1:10" ht="15.75" customHeight="1" x14ac:dyDescent="0.15">
      <c r="A146" s="5">
        <v>46076.467673611114</v>
      </c>
      <c r="B146" s="3" t="s">
        <v>417</v>
      </c>
      <c r="C146" s="3" t="s">
        <v>15</v>
      </c>
      <c r="D146" s="3" t="s">
        <v>421</v>
      </c>
      <c r="E146" s="3" t="s">
        <v>446</v>
      </c>
      <c r="F146" s="3" t="s">
        <v>726</v>
      </c>
      <c r="G146" s="3" t="s">
        <v>727</v>
      </c>
      <c r="H146" s="2">
        <v>4.47533948752E11</v>
      </c>
      <c r="I146" s="2">
        <v>4.47533948752E11</v>
      </c>
      <c r="J146" s="4" t="s">
        <v>100</v>
      </c>
    </row>
    <row r="147" spans="1:10" ht="15.75" customHeight="1" x14ac:dyDescent="0.15">
      <c r="A147" s="5">
        <v>46076.52318287037</v>
      </c>
      <c r="B147" s="3" t="s">
        <v>417</v>
      </c>
      <c r="C147" s="3" t="s">
        <v>15</v>
      </c>
      <c r="D147" s="3" t="s">
        <v>50</v>
      </c>
      <c r="E147" s="3" t="s">
        <v>47</v>
      </c>
      <c r="F147" s="3" t="s">
        <v>728</v>
      </c>
      <c r="G147" s="3" t="s">
        <v>729</v>
      </c>
      <c r="H147" s="2">
        <v>4.4793274384E11</v>
      </c>
      <c r="I147" s="2">
        <v>4.4793274384E11</v>
      </c>
      <c r="J147" s="4" t="s">
        <v>100</v>
      </c>
    </row>
    <row r="148" spans="1:10" ht="15.75" customHeight="1" x14ac:dyDescent="0.15">
      <c r="A148" s="5">
        <v>46076.79653935185</v>
      </c>
      <c r="B148" s="3" t="s">
        <v>417</v>
      </c>
      <c r="C148" s="3" t="s">
        <v>15</v>
      </c>
      <c r="D148" s="3" t="s">
        <v>40</v>
      </c>
      <c r="E148" s="3" t="s">
        <v>446</v>
      </c>
      <c r="F148" s="3" t="s">
        <v>730</v>
      </c>
      <c r="G148" s="3" t="s">
        <v>731</v>
      </c>
      <c r="H148" s="2">
        <v>4.47946760045E11</v>
      </c>
      <c r="I148" s="2">
        <v>4.47946760045E11</v>
      </c>
      <c r="J148" s="4" t="s">
        <v>100</v>
      </c>
    </row>
    <row r="149" spans="1:10" ht="15.75" customHeight="1" x14ac:dyDescent="0.15">
      <c r="A149" s="5">
        <v>46076.93046296296</v>
      </c>
      <c r="B149" s="3" t="s">
        <v>417</v>
      </c>
      <c r="C149" s="3" t="s">
        <v>15</v>
      </c>
      <c r="D149" s="3" t="s">
        <v>40</v>
      </c>
      <c r="E149" s="3" t="s">
        <v>446</v>
      </c>
      <c r="F149" s="3" t="s">
        <v>732</v>
      </c>
      <c r="G149" s="3" t="s">
        <v>733</v>
      </c>
      <c r="H149" s="2">
        <v>4.47875427477E11</v>
      </c>
      <c r="I149" s="2">
        <v>4.47875427471E11</v>
      </c>
      <c r="J149" s="4" t="s">
        <v>100</v>
      </c>
    </row>
    <row r="150" spans="1:10" ht="15.75" customHeight="1" x14ac:dyDescent="0.15">
      <c r="A150" s="5">
        <v>46076.934849537036</v>
      </c>
      <c r="B150" s="3" t="s">
        <v>417</v>
      </c>
      <c r="C150" s="3" t="s">
        <v>15</v>
      </c>
      <c r="D150" s="3" t="s">
        <v>50</v>
      </c>
      <c r="E150" s="3" t="s">
        <v>418</v>
      </c>
      <c r="F150" s="3" t="s">
        <v>734</v>
      </c>
      <c r="G150" s="3" t="s">
        <v>735</v>
      </c>
      <c r="H150" s="2">
        <v>4.47587634822E11</v>
      </c>
      <c r="I150" s="2">
        <v>4.47900427269E11</v>
      </c>
      <c r="J150" s="4" t="s">
        <v>100</v>
      </c>
    </row>
    <row r="151" spans="1:10" ht="15.75" customHeight="1" x14ac:dyDescent="0.15">
      <c r="A151" s="5">
        <v>46078.44634259259</v>
      </c>
      <c r="B151" s="3" t="s">
        <v>417</v>
      </c>
      <c r="C151" s="3" t="s">
        <v>15</v>
      </c>
      <c r="D151" s="3" t="s">
        <v>40</v>
      </c>
      <c r="E151" s="3" t="s">
        <v>446</v>
      </c>
      <c r="F151" s="3" t="s">
        <v>736</v>
      </c>
      <c r="G151" s="3" t="s">
        <v>737</v>
      </c>
      <c r="H151" s="2">
        <v>4.47871360904E11</v>
      </c>
      <c r="I151" s="2">
        <v>4.47871360904E11</v>
      </c>
      <c r="J151" s="4" t="s">
        <v>100</v>
      </c>
    </row>
    <row r="152" spans="1:10" ht="15.75" customHeight="1" x14ac:dyDescent="0.15">
      <c r="A152" s="5">
        <v>46078.50701388889</v>
      </c>
      <c r="B152" s="3" t="s">
        <v>417</v>
      </c>
      <c r="C152" s="3" t="s">
        <v>15</v>
      </c>
      <c r="D152" s="3" t="s">
        <v>50</v>
      </c>
      <c r="E152" s="3" t="s">
        <v>446</v>
      </c>
      <c r="F152" s="3" t="s">
        <v>738</v>
      </c>
      <c r="G152" s="3" t="s">
        <v>739</v>
      </c>
      <c r="H152" s="2">
        <v>4.47447161507E11</v>
      </c>
      <c r="I152" s="2">
        <v>4.47447161507E11</v>
      </c>
      <c r="J152" s="4" t="s">
        <v>100</v>
      </c>
    </row>
    <row r="153" spans="1:10" ht="15.75" customHeight="1" x14ac:dyDescent="0.15">
      <c r="A153" s="5">
        <v>46078.82239583333</v>
      </c>
      <c r="B153" s="3" t="s">
        <v>417</v>
      </c>
      <c r="C153" s="3" t="s">
        <v>45</v>
      </c>
      <c r="D153" s="3" t="s">
        <v>40</v>
      </c>
      <c r="E153" s="3" t="s">
        <v>446</v>
      </c>
      <c r="F153" s="3" t="s">
        <v>740</v>
      </c>
      <c r="G153" s="3" t="s">
        <v>741</v>
      </c>
      <c r="H153" s="2">
        <v>4.47405102518E11</v>
      </c>
      <c r="I153" s="2">
        <v>4.47405102518E11</v>
      </c>
      <c r="J153" s="4" t="s">
        <v>100</v>
      </c>
    </row>
    <row r="154" spans="1:10" ht="15.75" customHeight="1" x14ac:dyDescent="0.15">
      <c r="A154" s="5">
        <v>46079.70135416667</v>
      </c>
      <c r="B154" s="3" t="s">
        <v>417</v>
      </c>
      <c r="C154" s="3" t="s">
        <v>15</v>
      </c>
      <c r="D154" s="3" t="s">
        <v>40</v>
      </c>
      <c r="E154" s="3" t="s">
        <v>418</v>
      </c>
      <c r="F154" s="3" t="s">
        <v>742</v>
      </c>
      <c r="G154" s="3" t="s">
        <v>743</v>
      </c>
      <c r="H154" s="2">
        <v>4.47852116618E11</v>
      </c>
      <c r="I154" s="2">
        <v>4.47852116618E11</v>
      </c>
      <c r="J154" s="4" t="s">
        <v>100</v>
      </c>
    </row>
    <row r="155" spans="1:10" ht="15.75" customHeight="1" x14ac:dyDescent="0.15">
      <c r="A155" s="5">
        <v>46079.71092592592</v>
      </c>
      <c r="B155" s="3" t="s">
        <v>417</v>
      </c>
      <c r="C155" s="3" t="s">
        <v>15</v>
      </c>
      <c r="D155" s="3" t="s">
        <v>50</v>
      </c>
      <c r="E155" s="3" t="s">
        <v>47</v>
      </c>
      <c r="F155" s="3" t="s">
        <v>744</v>
      </c>
      <c r="G155" s="3" t="s">
        <v>745</v>
      </c>
      <c r="H155" s="2">
        <v>4.47449814841E11</v>
      </c>
      <c r="I155" s="2">
        <v>4.47449814841E11</v>
      </c>
      <c r="J155" s="4" t="s">
        <v>100</v>
      </c>
    </row>
    <row r="156" spans="1:10" ht="15.75" customHeight="1" x14ac:dyDescent="0.15">
      <c r="A156" s="5">
        <v>46079.71388888889</v>
      </c>
      <c r="B156" s="3" t="s">
        <v>417</v>
      </c>
      <c r="C156" s="3" t="s">
        <v>15</v>
      </c>
      <c r="D156" s="3" t="s">
        <v>40</v>
      </c>
      <c r="E156" s="3" t="s">
        <v>446</v>
      </c>
      <c r="F156" s="3" t="s">
        <v>746</v>
      </c>
      <c r="G156" s="3" t="s">
        <v>747</v>
      </c>
      <c r="H156" s="2">
        <v>4.4739440864E11</v>
      </c>
      <c r="I156" s="2">
        <v>4.4739440864E11</v>
      </c>
      <c r="J156" s="4" t="s">
        <v>100</v>
      </c>
    </row>
    <row r="157" spans="1:10" ht="15.75" customHeight="1" x14ac:dyDescent="0.15">
      <c r="A157" s="5">
        <v>46079.7625</v>
      </c>
      <c r="B157" s="3" t="s">
        <v>417</v>
      </c>
      <c r="C157" s="3" t="s">
        <v>15</v>
      </c>
      <c r="D157" s="3" t="s">
        <v>50</v>
      </c>
      <c r="E157" s="3" t="s">
        <v>418</v>
      </c>
      <c r="F157" s="3" t="s">
        <v>748</v>
      </c>
      <c r="G157" s="3" t="s">
        <v>749</v>
      </c>
      <c r="H157" s="2">
        <v>4.47930823762E11</v>
      </c>
      <c r="I157" s="2">
        <v>4.47930823762E11</v>
      </c>
      <c r="J157" s="4" t="s">
        <v>100</v>
      </c>
    </row>
    <row r="158" spans="1:1" ht="15.75" customHeight="1" x14ac:dyDescent="0.15"/>
    <row r="159" spans="1:1" ht="15.75" customHeight="1" x14ac:dyDescent="0.15"/>
    <row r="160" spans="1:1" ht="15.75" customHeight="1" x14ac:dyDescent="0.15"/>
    <row r="161" spans="1:1" ht="15.75" customHeight="1" x14ac:dyDescent="0.15"/>
    <row r="162" spans="1:1" ht="15.75" customHeight="1" x14ac:dyDescent="0.15"/>
    <row r="163" spans="1:1" ht="15.75" customHeight="1" x14ac:dyDescent="0.15"/>
    <row r="164" spans="1:1" ht="15.75" customHeight="1" x14ac:dyDescent="0.15"/>
    <row r="165" spans="1:1" ht="15.75" customHeight="1" x14ac:dyDescent="0.15"/>
    <row r="166" spans="1:1" ht="15.75" customHeight="1" x14ac:dyDescent="0.15"/>
    <row r="167" spans="1:1" ht="15.75" customHeight="1" x14ac:dyDescent="0.15"/>
    <row r="168" spans="1:1" ht="15.75" customHeight="1" x14ac:dyDescent="0.15"/>
    <row r="169" spans="1:1" ht="15.75" customHeight="1" x14ac:dyDescent="0.15"/>
    <row r="170" spans="1:1" ht="15.75" customHeight="1" x14ac:dyDescent="0.15"/>
    <row r="171" spans="1:1" ht="15.75" customHeight="1" x14ac:dyDescent="0.15"/>
    <row r="172" spans="1:1" ht="15.75" customHeight="1" x14ac:dyDescent="0.15"/>
    <row r="173" spans="1:1" ht="15.75" customHeight="1" x14ac:dyDescent="0.15"/>
    <row r="174" spans="1:1" ht="15.75" customHeight="1" x14ac:dyDescent="0.15"/>
    <row r="175" spans="1:1" ht="15.75" customHeight="1" x14ac:dyDescent="0.15"/>
    <row r="176" spans="1:1" ht="15.75" customHeight="1" x14ac:dyDescent="0.15"/>
    <row r="177" spans="1:1" ht="15.75" customHeight="1" x14ac:dyDescent="0.15"/>
    <row r="178" spans="1:1" ht="15.75" customHeight="1" x14ac:dyDescent="0.15"/>
    <row r="179" spans="1:1" ht="15.75" customHeight="1" x14ac:dyDescent="0.15"/>
    <row r="180" spans="1:1" ht="15.75" customHeight="1" x14ac:dyDescent="0.15"/>
    <row r="181" spans="1:1" ht="15.75" customHeight="1" x14ac:dyDescent="0.15"/>
    <row r="182" spans="1:1" ht="15.75" customHeight="1" x14ac:dyDescent="0.15"/>
    <row r="183" spans="1:1" ht="15.75" customHeight="1" x14ac:dyDescent="0.15"/>
    <row r="184" spans="1:1" ht="15.75" customHeight="1" x14ac:dyDescent="0.15"/>
    <row r="185" spans="1:1" ht="15.75" customHeight="1" x14ac:dyDescent="0.15"/>
    <row r="186" spans="1:1" ht="15.75" customHeight="1" x14ac:dyDescent="0.15"/>
    <row r="187" spans="1:1" ht="15.75" customHeight="1" x14ac:dyDescent="0.15"/>
    <row r="188" spans="1:1" ht="15.75" customHeight="1" x14ac:dyDescent="0.15"/>
    <row r="189" spans="1:1" ht="15.75" customHeight="1" x14ac:dyDescent="0.15"/>
    <row r="190" spans="1:1" ht="15.75" customHeight="1" x14ac:dyDescent="0.15"/>
    <row r="191" spans="1:1" ht="15.75" customHeight="1" x14ac:dyDescent="0.15"/>
    <row r="192" spans="1:1" ht="15.75" customHeight="1" x14ac:dyDescent="0.15"/>
    <row r="193" spans="1:1" ht="15.75" customHeight="1" x14ac:dyDescent="0.15"/>
    <row r="194" spans="1:1" ht="15.75" customHeight="1" x14ac:dyDescent="0.15"/>
    <row r="195" spans="1:1" ht="15.75" customHeight="1" x14ac:dyDescent="0.15"/>
    <row r="196" spans="1:1" ht="15.75" customHeight="1" x14ac:dyDescent="0.15"/>
    <row r="197" spans="1:1" ht="15.75" customHeight="1" x14ac:dyDescent="0.15"/>
    <row r="198" spans="1:1" ht="15.75" customHeight="1" x14ac:dyDescent="0.15"/>
    <row r="199" spans="1:1" ht="15.75" customHeight="1" x14ac:dyDescent="0.15"/>
    <row r="200" spans="1:1" ht="15.75" customHeight="1" x14ac:dyDescent="0.15"/>
    <row r="201" spans="1:1" ht="15.75" customHeight="1" x14ac:dyDescent="0.15"/>
    <row r="202" spans="1:1" ht="15.75" customHeight="1" x14ac:dyDescent="0.15"/>
    <row r="203" spans="1:1" ht="15.75" customHeight="1" x14ac:dyDescent="0.15"/>
    <row r="204" spans="1:1" ht="15.75" customHeight="1" x14ac:dyDescent="0.15"/>
    <row r="205" spans="1:1" ht="15.75" customHeight="1" x14ac:dyDescent="0.15"/>
    <row r="206" spans="1:1" ht="15.75" customHeight="1" x14ac:dyDescent="0.15"/>
    <row r="207" spans="1:1" ht="15.75" customHeight="1" x14ac:dyDescent="0.15"/>
    <row r="208" spans="1:1" ht="15.75" customHeight="1" x14ac:dyDescent="0.15"/>
    <row r="209" spans="1:1" ht="15.75" customHeight="1" x14ac:dyDescent="0.15"/>
    <row r="210" spans="1:1" ht="15.75" customHeight="1" x14ac:dyDescent="0.15"/>
    <row r="211" spans="1:1" ht="15.75" customHeight="1" x14ac:dyDescent="0.15"/>
    <row r="212" spans="1:1" ht="15.75" customHeight="1" x14ac:dyDescent="0.15"/>
    <row r="213" spans="1:1" ht="15.75" customHeight="1" x14ac:dyDescent="0.15"/>
    <row r="214" spans="1:1" ht="15.75" customHeight="1" x14ac:dyDescent="0.15"/>
    <row r="215" spans="1:1" ht="15.75" customHeight="1" x14ac:dyDescent="0.15"/>
    <row r="216" spans="1:1" ht="15.75" customHeight="1" x14ac:dyDescent="0.15"/>
    <row r="217" spans="1:1" ht="15.75" customHeight="1" x14ac:dyDescent="0.15"/>
    <row r="218" spans="1:1" ht="15.75" customHeight="1" x14ac:dyDescent="0.15"/>
    <row r="219" spans="1:1" ht="15.75" customHeight="1" x14ac:dyDescent="0.15"/>
    <row r="220" spans="1:1" ht="15.75" customHeight="1" x14ac:dyDescent="0.15"/>
    <row r="221" spans="1:1" ht="15.75" customHeight="1" x14ac:dyDescent="0.15"/>
    <row r="222" spans="1:1" ht="15.75" customHeight="1" x14ac:dyDescent="0.15"/>
    <row r="223" spans="1:1" ht="15.75" customHeight="1" x14ac:dyDescent="0.15"/>
    <row r="224" spans="1:1" ht="15.75" customHeight="1" x14ac:dyDescent="0.15"/>
    <row r="225" spans="1:1" ht="15.75" customHeight="1" x14ac:dyDescent="0.15"/>
    <row r="226" spans="1:1" ht="15.75" customHeight="1" x14ac:dyDescent="0.15"/>
    <row r="227" spans="1:1" ht="15.75" customHeight="1" x14ac:dyDescent="0.15"/>
    <row r="228" spans="1:1" ht="15.75" customHeight="1" x14ac:dyDescent="0.15"/>
    <row r="229" spans="1:1" ht="15.75" customHeight="1" x14ac:dyDescent="0.15"/>
    <row r="230" spans="1:1" ht="15.75" customHeight="1" x14ac:dyDescent="0.15"/>
    <row r="231" spans="1:1" ht="15.75" customHeight="1" x14ac:dyDescent="0.15"/>
    <row r="232" spans="1:1" ht="15.75" customHeight="1" x14ac:dyDescent="0.15"/>
    <row r="233" spans="1:1" ht="15.75" customHeight="1" x14ac:dyDescent="0.15"/>
    <row r="234" spans="1:1" ht="15.75" customHeight="1" x14ac:dyDescent="0.15"/>
    <row r="235" spans="1:1" ht="15.75" customHeight="1" x14ac:dyDescent="0.15"/>
    <row r="236" spans="1:1" ht="15.75" customHeight="1" x14ac:dyDescent="0.15"/>
    <row r="237" spans="1:1" ht="15.75" customHeight="1" x14ac:dyDescent="0.15"/>
    <row r="238" spans="1:1" ht="15.75" customHeight="1" x14ac:dyDescent="0.15"/>
    <row r="239" spans="1:1" ht="15.75" customHeight="1" x14ac:dyDescent="0.15"/>
    <row r="240" spans="1:1" ht="15.75" customHeight="1" x14ac:dyDescent="0.15"/>
    <row r="241" spans="1:1" ht="15.75" customHeight="1" x14ac:dyDescent="0.15"/>
    <row r="242" spans="1:1" ht="15.75" customHeight="1" x14ac:dyDescent="0.15"/>
    <row r="243" spans="1:1" ht="15.75" customHeight="1" x14ac:dyDescent="0.15"/>
    <row r="244" spans="1:1" ht="15.75" customHeight="1" x14ac:dyDescent="0.15"/>
    <row r="245" spans="1:1" ht="15.75" customHeight="1" x14ac:dyDescent="0.15"/>
    <row r="246" spans="1:1" ht="15.75" customHeight="1" x14ac:dyDescent="0.15"/>
    <row r="247" spans="1:1" ht="15.75" customHeight="1" x14ac:dyDescent="0.15"/>
    <row r="248" spans="1:1" ht="15.75" customHeight="1" x14ac:dyDescent="0.15"/>
    <row r="249" spans="1:1" ht="15.75" customHeight="1" x14ac:dyDescent="0.15"/>
    <row r="250" spans="1:1" ht="15.75" customHeight="1" x14ac:dyDescent="0.15"/>
    <row r="251" spans="1:1" ht="15.75" customHeight="1" x14ac:dyDescent="0.15"/>
    <row r="252" spans="1:1" ht="15.75" customHeight="1" x14ac:dyDescent="0.15"/>
    <row r="253" spans="1:1" ht="15.75" customHeight="1" x14ac:dyDescent="0.15"/>
    <row r="254" spans="1:1" ht="15.75" customHeight="1" x14ac:dyDescent="0.15"/>
    <row r="255" spans="1:1" ht="15.75" customHeight="1" x14ac:dyDescent="0.15"/>
    <row r="256" spans="1:1" ht="15.75" customHeight="1" x14ac:dyDescent="0.15"/>
    <row r="257" spans="1:1" ht="15.75" customHeight="1" x14ac:dyDescent="0.15"/>
    <row r="258" spans="1:1" ht="15.75" customHeight="1" x14ac:dyDescent="0.15"/>
    <row r="259" spans="1:1" ht="15.75" customHeight="1" x14ac:dyDescent="0.15"/>
    <row r="260" spans="1:1" ht="15.75" customHeight="1" x14ac:dyDescent="0.15"/>
    <row r="261" spans="1:1" ht="15.75" customHeight="1" x14ac:dyDescent="0.15"/>
    <row r="262" spans="1:1" ht="15.75" customHeight="1" x14ac:dyDescent="0.15"/>
    <row r="263" spans="1:1" ht="15.75" customHeight="1" x14ac:dyDescent="0.15"/>
    <row r="264" spans="1:1" ht="15.75" customHeight="1" x14ac:dyDescent="0.15"/>
    <row r="265" spans="1:1" ht="15.75" customHeight="1" x14ac:dyDescent="0.15"/>
    <row r="266" spans="1:1" ht="15.75" customHeight="1" x14ac:dyDescent="0.15"/>
    <row r="267" spans="1:1" ht="15.75" customHeight="1" x14ac:dyDescent="0.15"/>
    <row r="268" spans="1:1" ht="15.75" customHeight="1" x14ac:dyDescent="0.15"/>
    <row r="269" spans="1:1" ht="15.75" customHeight="1" x14ac:dyDescent="0.15"/>
    <row r="270" spans="1:1" ht="15.75" customHeight="1" x14ac:dyDescent="0.15"/>
    <row r="271" spans="1:1" ht="15.75" customHeight="1" x14ac:dyDescent="0.15"/>
    <row r="272" spans="1:1" ht="15.75" customHeight="1" x14ac:dyDescent="0.15"/>
    <row r="273" spans="1:1" ht="15.75" customHeight="1" x14ac:dyDescent="0.15"/>
    <row r="274" spans="1:1" ht="15.75" customHeight="1" x14ac:dyDescent="0.15"/>
    <row r="275" spans="1:1" ht="15.75" customHeight="1" x14ac:dyDescent="0.15"/>
    <row r="276" spans="1:1" ht="15.75" customHeight="1" x14ac:dyDescent="0.15"/>
    <row r="277" spans="1:1" ht="15.75" customHeight="1" x14ac:dyDescent="0.15"/>
    <row r="278" spans="1:1" ht="15.75" customHeight="1" x14ac:dyDescent="0.15"/>
    <row r="279" spans="1:1" ht="15.75" customHeight="1" x14ac:dyDescent="0.15"/>
    <row r="280" spans="1:1" ht="15.75" customHeight="1" x14ac:dyDescent="0.15"/>
    <row r="281" spans="1:1" ht="15.75" customHeight="1" x14ac:dyDescent="0.15"/>
    <row r="282" spans="1:1" ht="15.75" customHeight="1" x14ac:dyDescent="0.15"/>
    <row r="283" spans="1:1" ht="15.75" customHeight="1" x14ac:dyDescent="0.15"/>
    <row r="284" spans="1:1" ht="15.75" customHeight="1" x14ac:dyDescent="0.15"/>
    <row r="285" spans="1:1" ht="15.75" customHeight="1" x14ac:dyDescent="0.15"/>
    <row r="286" spans="1:1" ht="15.75" customHeight="1" x14ac:dyDescent="0.15"/>
    <row r="287" spans="1:1" ht="15.75" customHeight="1" x14ac:dyDescent="0.15"/>
    <row r="288" spans="1:1" ht="15.75" customHeight="1" x14ac:dyDescent="0.15"/>
    <row r="289" spans="1:1" ht="15.75" customHeight="1" x14ac:dyDescent="0.15"/>
    <row r="290" spans="1:1" ht="15.75" customHeight="1" x14ac:dyDescent="0.15"/>
    <row r="291" spans="1:1" ht="15.75" customHeight="1" x14ac:dyDescent="0.15"/>
    <row r="292" spans="1:1" ht="15.75" customHeight="1" x14ac:dyDescent="0.15"/>
    <row r="293" spans="1:1" ht="15.75" customHeight="1" x14ac:dyDescent="0.15"/>
    <row r="294" spans="1:1" ht="15.75" customHeight="1" x14ac:dyDescent="0.15"/>
    <row r="295" spans="1:1" ht="15.75" customHeight="1" x14ac:dyDescent="0.15"/>
    <row r="296" spans="1:1" ht="15.75" customHeight="1" x14ac:dyDescent="0.15"/>
    <row r="297" spans="1:1" ht="15.75" customHeight="1" x14ac:dyDescent="0.15"/>
    <row r="298" spans="1:1" ht="15.75" customHeight="1" x14ac:dyDescent="0.15"/>
    <row r="299" spans="1:1" ht="15.75" customHeight="1" x14ac:dyDescent="0.15"/>
    <row r="300" spans="1:1" ht="15.75" customHeight="1" x14ac:dyDescent="0.15"/>
    <row r="301" spans="1:1" ht="15.75" customHeight="1" x14ac:dyDescent="0.15"/>
    <row r="302" spans="1:1" ht="15.75" customHeight="1" x14ac:dyDescent="0.15"/>
    <row r="303" spans="1:1" ht="15.75" customHeight="1" x14ac:dyDescent="0.15"/>
    <row r="304" spans="1:1" ht="15.75" customHeight="1" x14ac:dyDescent="0.15"/>
    <row r="305" spans="1:1" ht="15.75" customHeight="1" x14ac:dyDescent="0.15"/>
    <row r="306" spans="1:1" ht="15.75" customHeight="1" x14ac:dyDescent="0.15"/>
    <row r="307" spans="1:1" ht="15.75" customHeight="1" x14ac:dyDescent="0.15"/>
    <row r="308" spans="1:1" ht="15.75" customHeight="1" x14ac:dyDescent="0.15"/>
    <row r="309" spans="1:1" ht="15.75" customHeight="1" x14ac:dyDescent="0.15"/>
    <row r="310" spans="1:1" ht="15.75" customHeight="1" x14ac:dyDescent="0.15"/>
    <row r="311" spans="1:1" ht="15.75" customHeight="1" x14ac:dyDescent="0.15"/>
    <row r="312" spans="1:1" ht="15.75" customHeight="1" x14ac:dyDescent="0.15"/>
    <row r="313" spans="1:1" ht="15.75" customHeight="1" x14ac:dyDescent="0.15"/>
    <row r="314" spans="1:1" ht="15.75" customHeight="1" x14ac:dyDescent="0.15"/>
    <row r="315" spans="1:1" ht="15.75" customHeight="1" x14ac:dyDescent="0.15"/>
    <row r="316" spans="1:1" ht="15.75" customHeight="1" x14ac:dyDescent="0.15"/>
    <row r="317" spans="1:1" ht="15.75" customHeight="1" x14ac:dyDescent="0.15"/>
    <row r="318" spans="1:1" ht="15.75" customHeight="1" x14ac:dyDescent="0.15"/>
    <row r="319" spans="1:1" ht="15.75" customHeight="1" x14ac:dyDescent="0.15"/>
    <row r="320" spans="1:1" ht="15.75" customHeight="1" x14ac:dyDescent="0.15"/>
    <row r="321" spans="1:1" ht="15.75" customHeight="1" x14ac:dyDescent="0.15"/>
    <row r="322" spans="1:1" ht="15.75" customHeight="1" x14ac:dyDescent="0.15"/>
    <row r="323" spans="1:1" ht="15.75" customHeight="1" x14ac:dyDescent="0.15"/>
    <row r="324" spans="1:1" ht="15.75" customHeight="1" x14ac:dyDescent="0.15"/>
    <row r="325" spans="1:1" ht="15.75" customHeight="1" x14ac:dyDescent="0.15"/>
    <row r="326" spans="1:1" ht="15.75" customHeight="1" x14ac:dyDescent="0.15"/>
    <row r="327" spans="1:1" ht="15.75" customHeight="1" x14ac:dyDescent="0.15"/>
    <row r="328" spans="1:1" ht="15.75" customHeight="1" x14ac:dyDescent="0.15"/>
    <row r="329" spans="1:1" ht="15.75" customHeight="1" x14ac:dyDescent="0.15"/>
    <row r="330" spans="1:1" ht="15.75" customHeight="1" x14ac:dyDescent="0.15"/>
    <row r="331" spans="1:1" ht="15.75" customHeight="1" x14ac:dyDescent="0.15"/>
    <row r="332" spans="1:1" ht="15.75" customHeight="1" x14ac:dyDescent="0.15"/>
    <row r="333" spans="1:1" ht="15.75" customHeight="1" x14ac:dyDescent="0.15"/>
    <row r="334" spans="1:1" ht="15.75" customHeight="1" x14ac:dyDescent="0.15"/>
    <row r="335" spans="1:1" ht="15.75" customHeight="1" x14ac:dyDescent="0.15"/>
    <row r="336" spans="1:1" ht="15.75" customHeight="1" x14ac:dyDescent="0.15"/>
    <row r="337" spans="1:1" ht="15.75" customHeight="1" x14ac:dyDescent="0.15"/>
    <row r="338" spans="1:1" ht="15.75" customHeight="1" x14ac:dyDescent="0.15"/>
    <row r="339" spans="1:1" ht="15.75" customHeight="1" x14ac:dyDescent="0.15"/>
    <row r="340" spans="1:1" ht="15.75" customHeight="1" x14ac:dyDescent="0.15"/>
    <row r="341" spans="1:1" ht="15.75" customHeight="1" x14ac:dyDescent="0.15"/>
    <row r="342" spans="1:1" ht="15.75" customHeight="1" x14ac:dyDescent="0.15"/>
    <row r="343" spans="1:1" ht="15.75" customHeight="1" x14ac:dyDescent="0.15"/>
    <row r="344" spans="1:1" ht="15.75" customHeight="1" x14ac:dyDescent="0.15"/>
    <row r="345" spans="1:1" ht="15.75" customHeight="1" x14ac:dyDescent="0.15"/>
    <row r="346" spans="1:1" ht="15.75" customHeight="1" x14ac:dyDescent="0.15"/>
    <row r="347" spans="1:1" ht="15.75" customHeight="1" x14ac:dyDescent="0.15"/>
    <row r="348" spans="1:1" ht="15.75" customHeight="1" x14ac:dyDescent="0.15"/>
    <row r="349" spans="1:1" ht="15.75" customHeight="1" x14ac:dyDescent="0.15"/>
    <row r="350" spans="1:1" ht="15.75" customHeight="1" x14ac:dyDescent="0.15"/>
    <row r="351" spans="1:1" ht="15.75" customHeight="1" x14ac:dyDescent="0.15"/>
    <row r="352" spans="1:1" ht="15.75" customHeight="1" x14ac:dyDescent="0.15"/>
    <row r="353" spans="1:1" ht="15.75" customHeight="1" x14ac:dyDescent="0.15"/>
    <row r="354" spans="1:1" ht="15.75" customHeight="1" x14ac:dyDescent="0.15"/>
    <row r="355" spans="1:1" ht="15.75" customHeight="1" x14ac:dyDescent="0.15"/>
    <row r="356" spans="1:1" ht="15.75" customHeight="1" x14ac:dyDescent="0.15"/>
    <row r="357" spans="1:1" ht="15.75" customHeight="1" x14ac:dyDescent="0.15"/>
    <row r="358" spans="1:1" ht="15.75" customHeight="1" x14ac:dyDescent="0.15"/>
    <row r="359" spans="1:1" ht="15.75" customHeight="1" x14ac:dyDescent="0.15"/>
    <row r="360" spans="1:1" ht="15.75" customHeight="1" x14ac:dyDescent="0.15"/>
    <row r="361" spans="1:1" ht="15.75" customHeight="1" x14ac:dyDescent="0.15"/>
    <row r="362" spans="1:1" ht="15.75" customHeight="1" x14ac:dyDescent="0.15"/>
    <row r="363" spans="1:1" ht="15.75" customHeight="1" x14ac:dyDescent="0.15"/>
    <row r="364" spans="1:1" ht="15.75" customHeight="1" x14ac:dyDescent="0.15"/>
    <row r="365" spans="1:1" ht="15.75" customHeight="1" x14ac:dyDescent="0.15"/>
    <row r="366" spans="1:1" ht="15.75" customHeight="1" x14ac:dyDescent="0.15"/>
    <row r="367" spans="1:1" ht="15.75" customHeight="1" x14ac:dyDescent="0.15"/>
    <row r="368" spans="1:1" ht="15.75" customHeight="1" x14ac:dyDescent="0.15"/>
    <row r="369" spans="1:1" ht="15.75" customHeight="1" x14ac:dyDescent="0.15"/>
    <row r="370" spans="1:1" ht="15.75" customHeight="1" x14ac:dyDescent="0.15"/>
    <row r="371" spans="1:1" ht="15.75" customHeight="1" x14ac:dyDescent="0.15"/>
    <row r="372" spans="1:1" ht="15.75" customHeight="1" x14ac:dyDescent="0.15"/>
    <row r="373" spans="1:1" ht="15.75" customHeight="1" x14ac:dyDescent="0.15"/>
    <row r="374" spans="1:1" ht="15.75" customHeight="1" x14ac:dyDescent="0.15"/>
    <row r="375" spans="1:1" ht="15.75" customHeight="1" x14ac:dyDescent="0.15"/>
    <row r="376" spans="1:1" ht="15.75" customHeight="1" x14ac:dyDescent="0.15"/>
    <row r="377" spans="1:1" ht="15.75" customHeight="1" x14ac:dyDescent="0.15"/>
    <row r="378" spans="1:1" ht="15.75" customHeight="1" x14ac:dyDescent="0.15"/>
    <row r="379" spans="1:1" ht="15.75" customHeight="1" x14ac:dyDescent="0.15"/>
    <row r="380" spans="1:1" ht="15.75" customHeight="1" x14ac:dyDescent="0.15"/>
    <row r="381" spans="1:1" ht="15.75" customHeight="1" x14ac:dyDescent="0.15"/>
    <row r="382" spans="1:1" ht="15.75" customHeight="1" x14ac:dyDescent="0.15"/>
    <row r="383" spans="1:1" ht="15.75" customHeight="1" x14ac:dyDescent="0.15"/>
    <row r="384" spans="1:1" ht="15.75" customHeight="1" x14ac:dyDescent="0.15"/>
    <row r="385" spans="1:1" ht="15.75" customHeight="1" x14ac:dyDescent="0.15"/>
    <row r="386" spans="1:1" ht="15.75" customHeight="1" x14ac:dyDescent="0.15"/>
    <row r="387" spans="1:1" ht="15.75" customHeight="1" x14ac:dyDescent="0.15"/>
    <row r="388" spans="1:1" ht="15.75" customHeight="1" x14ac:dyDescent="0.15"/>
    <row r="389" spans="1:1" ht="15.75" customHeight="1" x14ac:dyDescent="0.15"/>
    <row r="390" spans="1:1" ht="15.75" customHeight="1" x14ac:dyDescent="0.15"/>
    <row r="391" spans="1:1" ht="15.75" customHeight="1" x14ac:dyDescent="0.15"/>
    <row r="392" spans="1:1" ht="15.75" customHeight="1" x14ac:dyDescent="0.15"/>
    <row r="393" spans="1:1" ht="15.75" customHeight="1" x14ac:dyDescent="0.15"/>
    <row r="394" spans="1:1" ht="15.75" customHeight="1" x14ac:dyDescent="0.15"/>
    <row r="395" spans="1:1" ht="15.75" customHeight="1" x14ac:dyDescent="0.15"/>
    <row r="396" spans="1:1" ht="15.75" customHeight="1" x14ac:dyDescent="0.15"/>
    <row r="397" spans="1:1" ht="15.75" customHeight="1" x14ac:dyDescent="0.15"/>
    <row r="398" spans="1:1" ht="15.75" customHeight="1" x14ac:dyDescent="0.15"/>
    <row r="399" spans="1:1" ht="15.75" customHeight="1" x14ac:dyDescent="0.15"/>
    <row r="400" spans="1:1" ht="15.75" customHeight="1" x14ac:dyDescent="0.15"/>
    <row r="401" spans="1:1" ht="15.75" customHeight="1" x14ac:dyDescent="0.15"/>
    <row r="402" spans="1:1" ht="15.75" customHeight="1" x14ac:dyDescent="0.15"/>
    <row r="403" spans="1:1" ht="15.75" customHeight="1" x14ac:dyDescent="0.15"/>
    <row r="404" spans="1:1" ht="15.75" customHeight="1" x14ac:dyDescent="0.15"/>
    <row r="405" spans="1:1" ht="15.75" customHeight="1" x14ac:dyDescent="0.15"/>
    <row r="406" spans="1:1" ht="15.75" customHeight="1" x14ac:dyDescent="0.15"/>
    <row r="407" spans="1:1" ht="15.75" customHeight="1" x14ac:dyDescent="0.15"/>
    <row r="408" spans="1:1" ht="15.75" customHeight="1" x14ac:dyDescent="0.15"/>
    <row r="409" spans="1:1" ht="15.75" customHeight="1" x14ac:dyDescent="0.15"/>
    <row r="410" spans="1:1" ht="15.75" customHeight="1" x14ac:dyDescent="0.15"/>
    <row r="411" spans="1:1" ht="15.75" customHeight="1" x14ac:dyDescent="0.15"/>
    <row r="412" spans="1:1" ht="15.75" customHeight="1" x14ac:dyDescent="0.15"/>
    <row r="413" spans="1:1" ht="15.75" customHeight="1" x14ac:dyDescent="0.15"/>
    <row r="414" spans="1:1" ht="15.75" customHeight="1" x14ac:dyDescent="0.15"/>
    <row r="415" spans="1:1" ht="15.75" customHeight="1" x14ac:dyDescent="0.15"/>
    <row r="416" spans="1:1" ht="15.75" customHeight="1" x14ac:dyDescent="0.15"/>
    <row r="417" spans="1:1" ht="15.75" customHeight="1" x14ac:dyDescent="0.15"/>
    <row r="418" spans="1:1" ht="15.75" customHeight="1" x14ac:dyDescent="0.15"/>
    <row r="419" spans="1:1" ht="15.75" customHeight="1" x14ac:dyDescent="0.15"/>
    <row r="420" spans="1:1" ht="15.75" customHeight="1" x14ac:dyDescent="0.15"/>
    <row r="421" spans="1:1" ht="15.75" customHeight="1" x14ac:dyDescent="0.15"/>
    <row r="422" spans="1:1" ht="15.75" customHeight="1" x14ac:dyDescent="0.15"/>
    <row r="423" spans="1:1" ht="15.75" customHeight="1" x14ac:dyDescent="0.15"/>
    <row r="424" spans="1:1" ht="15.75" customHeight="1" x14ac:dyDescent="0.15"/>
    <row r="425" spans="1:1" ht="15.75" customHeight="1" x14ac:dyDescent="0.15"/>
    <row r="426" spans="1:1" ht="15.75" customHeight="1" x14ac:dyDescent="0.15"/>
    <row r="427" spans="1:1" ht="15.75" customHeight="1" x14ac:dyDescent="0.15"/>
    <row r="428" spans="1:1" ht="15.75" customHeight="1" x14ac:dyDescent="0.15"/>
    <row r="429" spans="1:1" ht="15.75" customHeight="1" x14ac:dyDescent="0.15"/>
    <row r="430" spans="1:1" ht="15.75" customHeight="1" x14ac:dyDescent="0.15"/>
    <row r="431" spans="1:1" ht="15.75" customHeight="1" x14ac:dyDescent="0.15"/>
    <row r="432" spans="1:1" ht="15.75" customHeight="1" x14ac:dyDescent="0.15"/>
    <row r="433" spans="1:1" ht="15.75" customHeight="1" x14ac:dyDescent="0.15"/>
    <row r="434" spans="1:1" ht="15.75" customHeight="1" x14ac:dyDescent="0.15"/>
    <row r="435" spans="1:1" ht="15.75" customHeight="1" x14ac:dyDescent="0.15"/>
    <row r="436" spans="1:1" ht="15.75" customHeight="1" x14ac:dyDescent="0.15"/>
    <row r="437" spans="1:1" ht="15.75" customHeight="1" x14ac:dyDescent="0.15"/>
    <row r="438" spans="1:1" ht="15.75" customHeight="1" x14ac:dyDescent="0.15"/>
    <row r="439" spans="1:1" ht="15.75" customHeight="1" x14ac:dyDescent="0.15"/>
    <row r="440" spans="1:1" ht="15.75" customHeight="1" x14ac:dyDescent="0.15"/>
    <row r="441" spans="1:1" ht="15.75" customHeight="1" x14ac:dyDescent="0.15"/>
    <row r="442" spans="1:1" ht="15.75" customHeight="1" x14ac:dyDescent="0.15"/>
    <row r="443" spans="1:1" ht="15.75" customHeight="1" x14ac:dyDescent="0.15"/>
    <row r="444" spans="1:1" ht="15.75" customHeight="1" x14ac:dyDescent="0.15"/>
    <row r="445" spans="1:1" ht="15.75" customHeight="1" x14ac:dyDescent="0.15"/>
    <row r="446" spans="1:1" ht="15.75" customHeight="1" x14ac:dyDescent="0.15"/>
    <row r="447" spans="1:1" ht="15.75" customHeight="1" x14ac:dyDescent="0.15"/>
    <row r="448" spans="1:1" ht="15.75" customHeight="1" x14ac:dyDescent="0.15"/>
    <row r="449" spans="1:1" ht="15.75" customHeight="1" x14ac:dyDescent="0.15"/>
    <row r="450" spans="1:1" ht="15.75" customHeight="1" x14ac:dyDescent="0.15"/>
    <row r="451" spans="1:1" ht="15.75" customHeight="1" x14ac:dyDescent="0.15"/>
    <row r="452" spans="1:1" ht="15.75" customHeight="1" x14ac:dyDescent="0.15"/>
    <row r="453" spans="1:1" ht="15.75" customHeight="1" x14ac:dyDescent="0.15"/>
    <row r="454" spans="1:1" ht="15.75" customHeight="1" x14ac:dyDescent="0.15"/>
    <row r="455" spans="1:1" ht="15.75" customHeight="1" x14ac:dyDescent="0.15"/>
    <row r="456" spans="1:1" ht="15.75" customHeight="1" x14ac:dyDescent="0.15"/>
    <row r="457" spans="1:1" ht="15.75" customHeight="1" x14ac:dyDescent="0.15"/>
    <row r="458" spans="1:1" ht="15.75" customHeight="1" x14ac:dyDescent="0.15"/>
    <row r="459" spans="1:1" ht="15.75" customHeight="1" x14ac:dyDescent="0.15"/>
    <row r="460" spans="1:1" ht="15.75" customHeight="1" x14ac:dyDescent="0.15"/>
    <row r="461" spans="1:1" ht="15.75" customHeight="1" x14ac:dyDescent="0.15"/>
    <row r="462" spans="1:1" ht="15.75" customHeight="1" x14ac:dyDescent="0.15"/>
    <row r="463" spans="1:1" ht="15.75" customHeight="1" x14ac:dyDescent="0.15"/>
    <row r="464" spans="1:1" ht="15.75" customHeight="1" x14ac:dyDescent="0.15"/>
    <row r="465" spans="1:1" ht="15.75" customHeight="1" x14ac:dyDescent="0.15"/>
    <row r="466" spans="1:1" ht="15.75" customHeight="1" x14ac:dyDescent="0.15"/>
    <row r="467" spans="1:1" ht="15.75" customHeight="1" x14ac:dyDescent="0.15"/>
    <row r="468" spans="1:1" ht="15.75" customHeight="1" x14ac:dyDescent="0.15"/>
    <row r="469" spans="1:1" ht="15.75" customHeight="1" x14ac:dyDescent="0.15"/>
    <row r="470" spans="1:1" ht="15.75" customHeight="1" x14ac:dyDescent="0.15"/>
    <row r="471" spans="1:1" ht="15.75" customHeight="1" x14ac:dyDescent="0.15"/>
    <row r="472" spans="1:1" ht="15.75" customHeight="1" x14ac:dyDescent="0.15"/>
    <row r="473" spans="1:1" ht="15.75" customHeight="1" x14ac:dyDescent="0.15"/>
    <row r="474" spans="1:1" ht="15.75" customHeight="1" x14ac:dyDescent="0.15"/>
    <row r="475" spans="1:1" ht="15.75" customHeight="1" x14ac:dyDescent="0.15"/>
    <row r="476" spans="1:1" ht="15.75" customHeight="1" x14ac:dyDescent="0.15"/>
    <row r="477" spans="1:1" ht="15.75" customHeight="1" x14ac:dyDescent="0.15"/>
    <row r="478" spans="1:1" ht="15.75" customHeight="1" x14ac:dyDescent="0.15"/>
    <row r="479" spans="1:1" ht="15.75" customHeight="1" x14ac:dyDescent="0.15"/>
    <row r="480" spans="1:1" ht="15.75" customHeight="1" x14ac:dyDescent="0.15"/>
    <row r="481" spans="1:1" ht="15.75" customHeight="1" x14ac:dyDescent="0.15"/>
    <row r="482" spans="1:1" ht="15.75" customHeight="1" x14ac:dyDescent="0.15"/>
    <row r="483" spans="1:1" ht="15.75" customHeight="1" x14ac:dyDescent="0.15"/>
    <row r="484" spans="1:1" ht="15.75" customHeight="1" x14ac:dyDescent="0.15"/>
    <row r="485" spans="1:1" ht="15.75" customHeight="1" x14ac:dyDescent="0.15"/>
    <row r="486" spans="1:1" ht="15.75" customHeight="1" x14ac:dyDescent="0.15"/>
    <row r="487" spans="1:1" ht="15.75" customHeight="1" x14ac:dyDescent="0.15"/>
    <row r="488" spans="1:1" ht="15.75" customHeight="1" x14ac:dyDescent="0.15"/>
    <row r="489" spans="1:1" ht="15.75" customHeight="1" x14ac:dyDescent="0.15"/>
    <row r="490" spans="1:1" ht="15.75" customHeight="1" x14ac:dyDescent="0.15"/>
    <row r="491" spans="1:1" ht="15.75" customHeight="1" x14ac:dyDescent="0.15"/>
    <row r="492" spans="1:1" ht="15.75" customHeight="1" x14ac:dyDescent="0.15"/>
    <row r="493" spans="1:1" ht="15.75" customHeight="1" x14ac:dyDescent="0.15"/>
    <row r="494" spans="1:1" ht="15.75" customHeight="1" x14ac:dyDescent="0.15"/>
    <row r="495" spans="1:1" ht="15.75" customHeight="1" x14ac:dyDescent="0.15"/>
    <row r="496" spans="1:1" ht="15.75" customHeight="1" x14ac:dyDescent="0.15"/>
    <row r="497" spans="1:1" ht="15.75" customHeight="1" x14ac:dyDescent="0.15"/>
    <row r="498" spans="1:1" ht="15.75" customHeight="1" x14ac:dyDescent="0.15"/>
    <row r="499" spans="1:1" ht="15.75" customHeight="1" x14ac:dyDescent="0.15"/>
    <row r="500" spans="1:1" ht="15.75" customHeight="1" x14ac:dyDescent="0.15"/>
    <row r="501" spans="1:1" ht="15.75" customHeight="1" x14ac:dyDescent="0.15"/>
    <row r="502" spans="1:1" ht="15.75" customHeight="1" x14ac:dyDescent="0.15"/>
    <row r="503" spans="1:1" ht="15.75" customHeight="1" x14ac:dyDescent="0.15"/>
    <row r="504" spans="1:1" ht="15.75" customHeight="1" x14ac:dyDescent="0.15"/>
    <row r="505" spans="1:1" ht="15.75" customHeight="1" x14ac:dyDescent="0.15"/>
    <row r="506" spans="1:1" ht="15.75" customHeight="1" x14ac:dyDescent="0.15"/>
    <row r="507" spans="1:1" ht="15.75" customHeight="1" x14ac:dyDescent="0.15"/>
    <row r="508" spans="1:1" ht="15.75" customHeight="1" x14ac:dyDescent="0.15"/>
    <row r="509" spans="1:1" ht="15.75" customHeight="1" x14ac:dyDescent="0.15"/>
    <row r="510" spans="1:1" ht="15.75" customHeight="1" x14ac:dyDescent="0.15"/>
    <row r="511" spans="1:1" ht="15.75" customHeight="1" x14ac:dyDescent="0.15"/>
    <row r="512" spans="1:1" ht="15.75" customHeight="1" x14ac:dyDescent="0.15"/>
    <row r="513" spans="1:1" ht="15.75" customHeight="1" x14ac:dyDescent="0.15"/>
    <row r="514" spans="1:1" ht="15.75" customHeight="1" x14ac:dyDescent="0.15"/>
    <row r="515" spans="1:1" ht="15.75" customHeight="1" x14ac:dyDescent="0.15"/>
    <row r="516" spans="1:1" ht="15.75" customHeight="1" x14ac:dyDescent="0.15"/>
    <row r="517" spans="1:1" ht="15.75" customHeight="1" x14ac:dyDescent="0.15"/>
    <row r="518" spans="1:1" ht="15.75" customHeight="1" x14ac:dyDescent="0.15"/>
    <row r="519" spans="1:1" ht="15.75" customHeight="1" x14ac:dyDescent="0.15"/>
    <row r="520" spans="1:1" ht="15.75" customHeight="1" x14ac:dyDescent="0.15"/>
    <row r="521" spans="1:1" ht="15.75" customHeight="1" x14ac:dyDescent="0.15"/>
    <row r="522" spans="1:1" ht="15.75" customHeight="1" x14ac:dyDescent="0.15"/>
    <row r="523" spans="1:1" ht="15.75" customHeight="1" x14ac:dyDescent="0.15"/>
    <row r="524" spans="1:1" ht="15.75" customHeight="1" x14ac:dyDescent="0.15"/>
    <row r="525" spans="1:1" ht="15.75" customHeight="1" x14ac:dyDescent="0.15"/>
    <row r="526" spans="1:1" ht="15.75" customHeight="1" x14ac:dyDescent="0.15"/>
    <row r="527" spans="1:1" ht="15.75" customHeight="1" x14ac:dyDescent="0.15"/>
    <row r="528" spans="1:1" ht="15.75" customHeight="1" x14ac:dyDescent="0.15"/>
    <row r="529" spans="1:1" ht="15.75" customHeight="1" x14ac:dyDescent="0.15"/>
    <row r="530" spans="1:1" ht="15.75" customHeight="1" x14ac:dyDescent="0.15"/>
    <row r="531" spans="1:1" ht="15.75" customHeight="1" x14ac:dyDescent="0.15"/>
    <row r="532" spans="1:1" ht="15.75" customHeight="1" x14ac:dyDescent="0.15"/>
    <row r="533" spans="1:1" ht="15.75" customHeight="1" x14ac:dyDescent="0.15"/>
    <row r="534" spans="1:1" ht="15.75" customHeight="1" x14ac:dyDescent="0.15"/>
    <row r="535" spans="1:1" ht="15.75" customHeight="1" x14ac:dyDescent="0.15"/>
    <row r="536" spans="1:1" ht="15.75" customHeight="1" x14ac:dyDescent="0.15"/>
    <row r="537" spans="1:1" ht="15.75" customHeight="1" x14ac:dyDescent="0.15"/>
    <row r="538" spans="1:1" ht="15.75" customHeight="1" x14ac:dyDescent="0.15"/>
    <row r="539" spans="1:1" ht="15.75" customHeight="1" x14ac:dyDescent="0.15"/>
    <row r="540" spans="1:1" ht="15.75" customHeight="1" x14ac:dyDescent="0.15"/>
    <row r="541" spans="1:1" ht="15.75" customHeight="1" x14ac:dyDescent="0.15"/>
    <row r="542" spans="1:1" ht="15.75" customHeight="1" x14ac:dyDescent="0.15"/>
    <row r="543" spans="1:1" ht="15.75" customHeight="1" x14ac:dyDescent="0.15"/>
    <row r="544" spans="1:1" ht="15.75" customHeight="1" x14ac:dyDescent="0.15"/>
    <row r="545" spans="1:1" ht="15.75" customHeight="1" x14ac:dyDescent="0.15"/>
    <row r="546" spans="1:1" ht="15.75" customHeight="1" x14ac:dyDescent="0.15"/>
    <row r="547" spans="1:1" ht="15.75" customHeight="1" x14ac:dyDescent="0.15"/>
    <row r="548" spans="1:1" ht="15.75" customHeight="1" x14ac:dyDescent="0.15"/>
    <row r="549" spans="1:1" ht="15.75" customHeight="1" x14ac:dyDescent="0.15"/>
    <row r="550" spans="1:1" ht="15.75" customHeight="1" x14ac:dyDescent="0.15"/>
    <row r="551" spans="1:1" ht="15.75" customHeight="1" x14ac:dyDescent="0.15"/>
    <row r="552" spans="1:1" ht="15.75" customHeight="1" x14ac:dyDescent="0.15"/>
    <row r="553" spans="1:1" ht="15.75" customHeight="1" x14ac:dyDescent="0.15"/>
    <row r="554" spans="1:1" ht="15.75" customHeight="1" x14ac:dyDescent="0.15"/>
    <row r="555" spans="1:1" ht="15.75" customHeight="1" x14ac:dyDescent="0.15"/>
    <row r="556" spans="1:1" ht="15.75" customHeight="1" x14ac:dyDescent="0.15"/>
    <row r="557" spans="1:1" ht="15.75" customHeight="1" x14ac:dyDescent="0.15"/>
    <row r="558" spans="1:1" ht="15.75" customHeight="1" x14ac:dyDescent="0.15"/>
    <row r="559" spans="1:1" ht="15.75" customHeight="1" x14ac:dyDescent="0.15"/>
    <row r="560" spans="1:1" ht="15.75" customHeight="1" x14ac:dyDescent="0.15"/>
    <row r="561" spans="1:1" ht="15.75" customHeight="1" x14ac:dyDescent="0.15"/>
    <row r="562" spans="1:1" ht="15.75" customHeight="1" x14ac:dyDescent="0.15"/>
    <row r="563" spans="1:1" ht="15.75" customHeight="1" x14ac:dyDescent="0.15"/>
    <row r="564" spans="1:1" ht="15.75" customHeight="1" x14ac:dyDescent="0.15"/>
    <row r="565" spans="1:1" ht="15.75" customHeight="1" x14ac:dyDescent="0.15"/>
    <row r="566" spans="1:1" ht="15.75" customHeight="1" x14ac:dyDescent="0.15"/>
    <row r="567" spans="1:1" ht="15.75" customHeight="1" x14ac:dyDescent="0.15"/>
    <row r="568" spans="1:1" ht="15.75" customHeight="1" x14ac:dyDescent="0.15"/>
    <row r="569" spans="1:1" ht="15.75" customHeight="1" x14ac:dyDescent="0.15"/>
    <row r="570" spans="1:1" ht="15.75" customHeight="1" x14ac:dyDescent="0.15"/>
    <row r="571" spans="1:1" ht="15.75" customHeight="1" x14ac:dyDescent="0.15"/>
    <row r="572" spans="1:1" ht="15.75" customHeight="1" x14ac:dyDescent="0.15"/>
    <row r="573" spans="1:1" ht="15.75" customHeight="1" x14ac:dyDescent="0.15"/>
    <row r="574" spans="1:1" ht="15.75" customHeight="1" x14ac:dyDescent="0.15"/>
    <row r="575" spans="1:1" ht="15.75" customHeight="1" x14ac:dyDescent="0.15"/>
    <row r="576" spans="1:1" ht="15.75" customHeight="1" x14ac:dyDescent="0.15"/>
    <row r="577" spans="1:1" ht="15.75" customHeight="1" x14ac:dyDescent="0.15"/>
    <row r="578" spans="1:1" ht="15.75" customHeight="1" x14ac:dyDescent="0.15"/>
    <row r="579" spans="1:1" ht="15.75" customHeight="1" x14ac:dyDescent="0.15"/>
    <row r="580" spans="1:1" ht="15.75" customHeight="1" x14ac:dyDescent="0.15"/>
    <row r="581" spans="1:1" ht="15.75" customHeight="1" x14ac:dyDescent="0.15"/>
    <row r="582" spans="1:1" ht="15.75" customHeight="1" x14ac:dyDescent="0.15"/>
    <row r="583" spans="1:1" ht="15.75" customHeight="1" x14ac:dyDescent="0.15"/>
    <row r="584" spans="1:1" ht="15.75" customHeight="1" x14ac:dyDescent="0.15"/>
    <row r="585" spans="1:1" ht="15.75" customHeight="1" x14ac:dyDescent="0.15"/>
    <row r="586" spans="1:1" ht="15.75" customHeight="1" x14ac:dyDescent="0.15"/>
    <row r="587" spans="1:1" ht="15.75" customHeight="1" x14ac:dyDescent="0.15"/>
    <row r="588" spans="1:1" ht="15.75" customHeight="1" x14ac:dyDescent="0.15"/>
    <row r="589" spans="1:1" ht="15.75" customHeight="1" x14ac:dyDescent="0.15"/>
    <row r="590" spans="1:1" ht="15.75" customHeight="1" x14ac:dyDescent="0.15"/>
    <row r="591" spans="1:1" ht="15.75" customHeight="1" x14ac:dyDescent="0.15"/>
    <row r="592" spans="1:1" ht="15.75" customHeight="1" x14ac:dyDescent="0.15"/>
    <row r="593" spans="1:1" ht="15.75" customHeight="1" x14ac:dyDescent="0.15"/>
    <row r="594" spans="1:1" ht="15.75" customHeight="1" x14ac:dyDescent="0.15"/>
    <row r="595" spans="1:1" ht="15.75" customHeight="1" x14ac:dyDescent="0.15"/>
    <row r="596" spans="1:1" ht="15.75" customHeight="1" x14ac:dyDescent="0.15"/>
    <row r="597" spans="1:1" ht="15.75" customHeight="1" x14ac:dyDescent="0.15"/>
    <row r="598" spans="1:1" ht="15.75" customHeight="1" x14ac:dyDescent="0.15"/>
    <row r="599" spans="1:1" ht="15.75" customHeight="1" x14ac:dyDescent="0.15"/>
    <row r="600" spans="1:1" ht="15.75" customHeight="1" x14ac:dyDescent="0.15"/>
    <row r="601" spans="1:1" ht="15.75" customHeight="1" x14ac:dyDescent="0.15"/>
    <row r="602" spans="1:1" ht="15.75" customHeight="1" x14ac:dyDescent="0.15"/>
    <row r="603" spans="1:1" ht="15.75" customHeight="1" x14ac:dyDescent="0.15"/>
    <row r="604" spans="1:1" ht="15.75" customHeight="1" x14ac:dyDescent="0.15"/>
    <row r="605" spans="1:1" ht="15.75" customHeight="1" x14ac:dyDescent="0.15"/>
    <row r="606" spans="1:1" ht="15.75" customHeight="1" x14ac:dyDescent="0.15"/>
    <row r="607" spans="1:1" ht="15.75" customHeight="1" x14ac:dyDescent="0.15"/>
    <row r="608" spans="1:1" ht="15.75" customHeight="1" x14ac:dyDescent="0.15"/>
    <row r="609" spans="1:1" ht="15.75" customHeight="1" x14ac:dyDescent="0.15"/>
    <row r="610" spans="1:1" ht="15.75" customHeight="1" x14ac:dyDescent="0.15"/>
    <row r="611" spans="1:1" ht="15.75" customHeight="1" x14ac:dyDescent="0.15"/>
    <row r="612" spans="1:1" ht="15.75" customHeight="1" x14ac:dyDescent="0.15"/>
    <row r="613" spans="1:1" ht="15.75" customHeight="1" x14ac:dyDescent="0.15"/>
    <row r="614" spans="1:1" ht="15.75" customHeight="1" x14ac:dyDescent="0.15"/>
    <row r="615" spans="1:1" ht="15.75" customHeight="1" x14ac:dyDescent="0.15"/>
    <row r="616" spans="1:1" ht="15.75" customHeight="1" x14ac:dyDescent="0.15"/>
    <row r="617" spans="1:1" ht="15.75" customHeight="1" x14ac:dyDescent="0.15"/>
    <row r="618" spans="1:1" ht="15.75" customHeight="1" x14ac:dyDescent="0.15"/>
    <row r="619" spans="1:1" ht="15.75" customHeight="1" x14ac:dyDescent="0.15"/>
    <row r="620" spans="1:1" ht="15.75" customHeight="1" x14ac:dyDescent="0.15"/>
    <row r="621" spans="1:1" ht="15.75" customHeight="1" x14ac:dyDescent="0.15"/>
    <row r="622" spans="1:1" ht="15.75" customHeight="1" x14ac:dyDescent="0.15"/>
    <row r="623" spans="1:1" ht="15.75" customHeight="1" x14ac:dyDescent="0.15"/>
    <row r="624" spans="1:1" ht="15.75" customHeight="1" x14ac:dyDescent="0.15"/>
    <row r="625" spans="1:1" ht="15.75" customHeight="1" x14ac:dyDescent="0.15"/>
    <row r="626" spans="1:1" ht="15.75" customHeight="1" x14ac:dyDescent="0.15"/>
    <row r="627" spans="1:1" ht="15.75" customHeight="1" x14ac:dyDescent="0.15"/>
    <row r="628" spans="1:1" ht="15.75" customHeight="1" x14ac:dyDescent="0.15"/>
    <row r="629" spans="1:1" ht="15.75" customHeight="1" x14ac:dyDescent="0.15"/>
    <row r="630" spans="1:1" ht="15.75" customHeight="1" x14ac:dyDescent="0.15"/>
    <row r="631" spans="1:1" ht="15.75" customHeight="1" x14ac:dyDescent="0.15"/>
    <row r="632" spans="1:1" ht="15.75" customHeight="1" x14ac:dyDescent="0.15"/>
    <row r="633" spans="1:1" ht="15.75" customHeight="1" x14ac:dyDescent="0.15"/>
    <row r="634" spans="1:1" ht="15.75" customHeight="1" x14ac:dyDescent="0.15"/>
    <row r="635" spans="1:1" ht="15.75" customHeight="1" x14ac:dyDescent="0.15"/>
    <row r="636" spans="1:1" ht="15.75" customHeight="1" x14ac:dyDescent="0.15"/>
    <row r="637" spans="1:1" ht="15.75" customHeight="1" x14ac:dyDescent="0.15"/>
    <row r="638" spans="1:1" ht="15.75" customHeight="1" x14ac:dyDescent="0.15"/>
    <row r="639" spans="1:1" ht="15.75" customHeight="1" x14ac:dyDescent="0.15"/>
    <row r="640" spans="1:1" ht="15.75" customHeight="1" x14ac:dyDescent="0.15"/>
    <row r="641" spans="1:1" ht="15.75" customHeight="1" x14ac:dyDescent="0.15"/>
    <row r="642" spans="1:1" ht="15.75" customHeight="1" x14ac:dyDescent="0.15"/>
    <row r="643" spans="1:1" ht="15.75" customHeight="1" x14ac:dyDescent="0.15"/>
    <row r="644" spans="1:1" ht="15.75" customHeight="1" x14ac:dyDescent="0.15"/>
    <row r="645" spans="1:1" ht="15.75" customHeight="1" x14ac:dyDescent="0.15"/>
    <row r="646" spans="1:1" ht="15.75" customHeight="1" x14ac:dyDescent="0.15"/>
    <row r="647" spans="1:1" ht="15.75" customHeight="1" x14ac:dyDescent="0.15"/>
    <row r="648" spans="1:1" ht="15.75" customHeight="1" x14ac:dyDescent="0.15"/>
    <row r="649" spans="1:1" ht="15.75" customHeight="1" x14ac:dyDescent="0.15"/>
    <row r="650" spans="1:1" ht="15.75" customHeight="1" x14ac:dyDescent="0.15"/>
    <row r="651" spans="1:1" ht="15.75" customHeight="1" x14ac:dyDescent="0.15"/>
    <row r="652" spans="1:1" ht="15.75" customHeight="1" x14ac:dyDescent="0.15"/>
    <row r="653" spans="1:1" ht="15.75" customHeight="1" x14ac:dyDescent="0.15"/>
    <row r="654" spans="1:1" ht="15.75" customHeight="1" x14ac:dyDescent="0.15"/>
    <row r="655" spans="1:1" ht="15.75" customHeight="1" x14ac:dyDescent="0.15"/>
    <row r="656" spans="1:1" ht="15.75" customHeight="1" x14ac:dyDescent="0.15"/>
    <row r="657" spans="1:1" ht="15.75" customHeight="1" x14ac:dyDescent="0.15"/>
    <row r="658" spans="1:1" ht="15.75" customHeight="1" x14ac:dyDescent="0.15"/>
    <row r="659" spans="1:1" ht="15.75" customHeight="1" x14ac:dyDescent="0.15"/>
    <row r="660" spans="1:1" ht="15.75" customHeight="1" x14ac:dyDescent="0.15"/>
    <row r="661" spans="1:1" ht="15.75" customHeight="1" x14ac:dyDescent="0.15"/>
    <row r="662" spans="1:1" ht="15.75" customHeight="1" x14ac:dyDescent="0.15"/>
    <row r="663" spans="1:1" ht="15.75" customHeight="1" x14ac:dyDescent="0.15"/>
    <row r="664" spans="1:1" ht="15.75" customHeight="1" x14ac:dyDescent="0.15"/>
    <row r="665" spans="1:1" ht="15.75" customHeight="1" x14ac:dyDescent="0.15"/>
    <row r="666" spans="1:1" ht="15.75" customHeight="1" x14ac:dyDescent="0.15"/>
    <row r="667" spans="1:1" ht="15.75" customHeight="1" x14ac:dyDescent="0.15"/>
    <row r="668" spans="1:1" ht="15.75" customHeight="1" x14ac:dyDescent="0.15"/>
    <row r="669" spans="1:1" ht="15.75" customHeight="1" x14ac:dyDescent="0.15"/>
    <row r="670" spans="1:1" ht="15.75" customHeight="1" x14ac:dyDescent="0.15"/>
    <row r="671" spans="1:1" ht="15.75" customHeight="1" x14ac:dyDescent="0.15"/>
    <row r="672" spans="1:1" ht="15.75" customHeight="1" x14ac:dyDescent="0.15"/>
    <row r="673" spans="1:1" ht="15.75" customHeight="1" x14ac:dyDescent="0.15"/>
    <row r="674" spans="1:1" ht="15.75" customHeight="1" x14ac:dyDescent="0.15"/>
    <row r="675" spans="1:1" ht="15.75" customHeight="1" x14ac:dyDescent="0.15"/>
    <row r="676" spans="1:1" ht="15.75" customHeight="1" x14ac:dyDescent="0.15"/>
    <row r="677" spans="1:1" ht="15.75" customHeight="1" x14ac:dyDescent="0.15"/>
    <row r="678" spans="1:1" ht="15.75" customHeight="1" x14ac:dyDescent="0.15"/>
    <row r="679" spans="1:1" ht="15.75" customHeight="1" x14ac:dyDescent="0.15"/>
    <row r="680" spans="1:1" ht="15.75" customHeight="1" x14ac:dyDescent="0.15"/>
    <row r="681" spans="1:1" ht="15.75" customHeight="1" x14ac:dyDescent="0.15"/>
    <row r="682" spans="1:1" ht="15.75" customHeight="1" x14ac:dyDescent="0.15"/>
    <row r="683" spans="1:1" ht="15.75" customHeight="1" x14ac:dyDescent="0.15"/>
    <row r="684" spans="1:1" ht="15.75" customHeight="1" x14ac:dyDescent="0.15"/>
    <row r="685" spans="1:1" ht="15.75" customHeight="1" x14ac:dyDescent="0.15"/>
    <row r="686" spans="1:1" ht="15.75" customHeight="1" x14ac:dyDescent="0.15"/>
    <row r="687" spans="1:1" ht="15.75" customHeight="1" x14ac:dyDescent="0.15"/>
    <row r="688" spans="1:1" ht="15.75" customHeight="1" x14ac:dyDescent="0.15"/>
    <row r="689" spans="1:1" ht="15.75" customHeight="1" x14ac:dyDescent="0.15"/>
    <row r="690" spans="1:1" ht="15.75" customHeight="1" x14ac:dyDescent="0.15"/>
    <row r="691" spans="1:1" ht="15.75" customHeight="1" x14ac:dyDescent="0.15"/>
    <row r="692" spans="1:1" ht="15.75" customHeight="1" x14ac:dyDescent="0.15"/>
    <row r="693" spans="1:1" ht="15.75" customHeight="1" x14ac:dyDescent="0.15"/>
    <row r="694" spans="1:1" ht="15.75" customHeight="1" x14ac:dyDescent="0.15"/>
    <row r="695" spans="1:1" ht="15.75" customHeight="1" x14ac:dyDescent="0.15"/>
    <row r="696" spans="1:1" ht="15.75" customHeight="1" x14ac:dyDescent="0.15"/>
    <row r="697" spans="1:1" ht="15.75" customHeight="1" x14ac:dyDescent="0.15"/>
    <row r="698" spans="1:1" ht="15.75" customHeight="1" x14ac:dyDescent="0.15"/>
    <row r="699" spans="1:1" ht="15.75" customHeight="1" x14ac:dyDescent="0.15"/>
    <row r="700" spans="1:1" ht="15.75" customHeight="1" x14ac:dyDescent="0.15"/>
    <row r="701" spans="1:1" ht="15.75" customHeight="1" x14ac:dyDescent="0.15"/>
    <row r="702" spans="1:1" ht="15.75" customHeight="1" x14ac:dyDescent="0.15"/>
    <row r="703" spans="1:1" ht="15.75" customHeight="1" x14ac:dyDescent="0.15"/>
    <row r="704" spans="1:1" ht="15.75" customHeight="1" x14ac:dyDescent="0.15"/>
    <row r="705" spans="1:1" ht="15.75" customHeight="1" x14ac:dyDescent="0.15"/>
    <row r="706" spans="1:1" ht="15.75" customHeight="1" x14ac:dyDescent="0.15"/>
    <row r="707" spans="1:1" ht="15.75" customHeight="1" x14ac:dyDescent="0.15"/>
    <row r="708" spans="1:1" ht="15.75" customHeight="1" x14ac:dyDescent="0.15"/>
    <row r="709" spans="1:1" ht="15.75" customHeight="1" x14ac:dyDescent="0.15"/>
    <row r="710" spans="1:1" ht="15.75" customHeight="1" x14ac:dyDescent="0.15"/>
    <row r="711" spans="1:1" ht="15.75" customHeight="1" x14ac:dyDescent="0.15"/>
    <row r="712" spans="1:1" ht="15.75" customHeight="1" x14ac:dyDescent="0.15"/>
    <row r="713" spans="1:1" ht="15.75" customHeight="1" x14ac:dyDescent="0.15"/>
    <row r="714" spans="1:1" ht="15.75" customHeight="1" x14ac:dyDescent="0.15"/>
    <row r="715" spans="1:1" ht="15.75" customHeight="1" x14ac:dyDescent="0.15"/>
    <row r="716" spans="1:1" ht="15.75" customHeight="1" x14ac:dyDescent="0.15"/>
    <row r="717" spans="1:1" ht="15.75" customHeight="1" x14ac:dyDescent="0.15"/>
    <row r="718" spans="1:1" ht="15.75" customHeight="1" x14ac:dyDescent="0.15"/>
    <row r="719" spans="1:1" ht="15.75" customHeight="1" x14ac:dyDescent="0.15"/>
    <row r="720" spans="1:1" ht="15.75" customHeight="1" x14ac:dyDescent="0.15"/>
    <row r="721" spans="1:1" ht="15.75" customHeight="1" x14ac:dyDescent="0.15"/>
    <row r="722" spans="1:1" ht="15.75" customHeight="1" x14ac:dyDescent="0.15"/>
    <row r="723" spans="1:1" ht="15.75" customHeight="1" x14ac:dyDescent="0.15"/>
    <row r="724" spans="1:1" ht="15.75" customHeight="1" x14ac:dyDescent="0.15"/>
    <row r="725" spans="1:1" ht="15.75" customHeight="1" x14ac:dyDescent="0.15"/>
    <row r="726" spans="1:1" ht="15.75" customHeight="1" x14ac:dyDescent="0.15"/>
    <row r="727" spans="1:1" ht="15.75" customHeight="1" x14ac:dyDescent="0.15"/>
    <row r="728" spans="1:1" ht="15.75" customHeight="1" x14ac:dyDescent="0.15"/>
    <row r="729" spans="1:1" ht="15.75" customHeight="1" x14ac:dyDescent="0.15"/>
    <row r="730" spans="1:1" ht="15.75" customHeight="1" x14ac:dyDescent="0.15"/>
    <row r="731" spans="1:1" ht="15.75" customHeight="1" x14ac:dyDescent="0.15"/>
    <row r="732" spans="1:1" ht="15.75" customHeight="1" x14ac:dyDescent="0.15"/>
    <row r="733" spans="1:1" ht="15.75" customHeight="1" x14ac:dyDescent="0.15"/>
    <row r="734" spans="1:1" ht="15.75" customHeight="1" x14ac:dyDescent="0.15"/>
    <row r="735" spans="1:1" ht="15.75" customHeight="1" x14ac:dyDescent="0.15"/>
    <row r="736" spans="1:1" ht="15.75" customHeight="1" x14ac:dyDescent="0.15"/>
    <row r="737" spans="1:1" ht="15.75" customHeight="1" x14ac:dyDescent="0.15"/>
    <row r="738" spans="1:1" ht="15.75" customHeight="1" x14ac:dyDescent="0.15"/>
    <row r="739" spans="1:1" ht="15.75" customHeight="1" x14ac:dyDescent="0.15"/>
    <row r="740" spans="1:1" ht="15.75" customHeight="1" x14ac:dyDescent="0.15"/>
    <row r="741" spans="1:1" ht="15.75" customHeight="1" x14ac:dyDescent="0.15"/>
    <row r="742" spans="1:1" ht="15.75" customHeight="1" x14ac:dyDescent="0.15"/>
    <row r="743" spans="1:1" ht="15.75" customHeight="1" x14ac:dyDescent="0.15"/>
    <row r="744" spans="1:1" ht="15.75" customHeight="1" x14ac:dyDescent="0.15"/>
    <row r="745" spans="1:1" ht="15.75" customHeight="1" x14ac:dyDescent="0.15"/>
    <row r="746" spans="1:1" ht="15.75" customHeight="1" x14ac:dyDescent="0.15"/>
    <row r="747" spans="1:1" ht="15.75" customHeight="1" x14ac:dyDescent="0.15"/>
    <row r="748" spans="1:1" ht="15.75" customHeight="1" x14ac:dyDescent="0.15"/>
    <row r="749" spans="1:1" ht="15.75" customHeight="1" x14ac:dyDescent="0.15"/>
    <row r="750" spans="1:1" ht="15.75" customHeight="1" x14ac:dyDescent="0.15"/>
    <row r="751" spans="1:1" ht="15.75" customHeight="1" x14ac:dyDescent="0.15"/>
    <row r="752" spans="1:1" ht="15.75" customHeight="1" x14ac:dyDescent="0.15"/>
    <row r="753" spans="1:1" ht="15.75" customHeight="1" x14ac:dyDescent="0.15"/>
    <row r="754" spans="1:1" ht="15.75" customHeight="1" x14ac:dyDescent="0.15"/>
    <row r="755" spans="1:1" ht="15.75" customHeight="1" x14ac:dyDescent="0.15"/>
    <row r="756" spans="1:1" ht="15.75" customHeight="1" x14ac:dyDescent="0.15"/>
    <row r="757" spans="1:1" ht="15.75" customHeight="1" x14ac:dyDescent="0.15"/>
    <row r="758" spans="1:1" ht="15.75" customHeight="1" x14ac:dyDescent="0.15"/>
    <row r="759" spans="1:1" ht="15.75" customHeight="1" x14ac:dyDescent="0.15"/>
    <row r="760" spans="1:1" ht="15.75" customHeight="1" x14ac:dyDescent="0.15"/>
    <row r="761" spans="1:1" ht="15.75" customHeight="1" x14ac:dyDescent="0.15"/>
    <row r="762" spans="1:1" ht="15.75" customHeight="1" x14ac:dyDescent="0.15"/>
    <row r="763" spans="1:1" ht="15.75" customHeight="1" x14ac:dyDescent="0.15"/>
    <row r="764" spans="1:1" ht="15.75" customHeight="1" x14ac:dyDescent="0.15"/>
    <row r="765" spans="1:1" ht="15.75" customHeight="1" x14ac:dyDescent="0.15"/>
    <row r="766" spans="1:1" ht="15.75" customHeight="1" x14ac:dyDescent="0.15"/>
    <row r="767" spans="1:1" ht="15.75" customHeight="1" x14ac:dyDescent="0.15"/>
    <row r="768" spans="1:1" ht="15.75" customHeight="1" x14ac:dyDescent="0.15"/>
    <row r="769" spans="1:1" ht="15.75" customHeight="1" x14ac:dyDescent="0.15"/>
    <row r="770" spans="1:1" ht="15.75" customHeight="1" x14ac:dyDescent="0.15"/>
    <row r="771" spans="1:1" ht="15.75" customHeight="1" x14ac:dyDescent="0.15"/>
    <row r="772" spans="1:1" ht="15.75" customHeight="1" x14ac:dyDescent="0.15"/>
    <row r="773" spans="1:1" ht="15.75" customHeight="1" x14ac:dyDescent="0.15"/>
    <row r="774" spans="1:1" ht="15.75" customHeight="1" x14ac:dyDescent="0.15"/>
    <row r="775" spans="1:1" ht="15.75" customHeight="1" x14ac:dyDescent="0.15"/>
    <row r="776" spans="1:1" ht="15.75" customHeight="1" x14ac:dyDescent="0.15"/>
    <row r="777" spans="1:1" ht="15.75" customHeight="1" x14ac:dyDescent="0.15"/>
    <row r="778" spans="1:1" ht="15.75" customHeight="1" x14ac:dyDescent="0.15"/>
    <row r="779" spans="1:1" ht="15.75" customHeight="1" x14ac:dyDescent="0.15"/>
    <row r="780" spans="1:1" ht="15.75" customHeight="1" x14ac:dyDescent="0.15"/>
    <row r="781" spans="1:1" ht="15.75" customHeight="1" x14ac:dyDescent="0.15"/>
    <row r="782" spans="1:1" ht="15.75" customHeight="1" x14ac:dyDescent="0.15"/>
    <row r="783" spans="1:1" ht="15.75" customHeight="1" x14ac:dyDescent="0.15"/>
    <row r="784" spans="1:1" ht="15.75" customHeight="1" x14ac:dyDescent="0.15"/>
    <row r="785" spans="1:1" ht="15.75" customHeight="1" x14ac:dyDescent="0.15"/>
    <row r="786" spans="1:1" ht="15.75" customHeight="1" x14ac:dyDescent="0.15"/>
    <row r="787" spans="1:1" ht="15.75" customHeight="1" x14ac:dyDescent="0.15"/>
    <row r="788" spans="1:1" ht="15.75" customHeight="1" x14ac:dyDescent="0.15"/>
    <row r="789" spans="1:1" ht="15.75" customHeight="1" x14ac:dyDescent="0.15"/>
    <row r="790" spans="1:1" ht="15.75" customHeight="1" x14ac:dyDescent="0.15"/>
    <row r="791" spans="1:1" ht="15.75" customHeight="1" x14ac:dyDescent="0.15"/>
    <row r="792" spans="1:1" ht="15.75" customHeight="1" x14ac:dyDescent="0.15"/>
    <row r="793" spans="1:1" ht="15.75" customHeight="1" x14ac:dyDescent="0.15"/>
    <row r="794" spans="1:1" ht="15.75" customHeight="1" x14ac:dyDescent="0.15"/>
    <row r="795" spans="1:1" ht="15.75" customHeight="1" x14ac:dyDescent="0.15"/>
    <row r="796" spans="1:1" ht="15.75" customHeight="1" x14ac:dyDescent="0.15"/>
    <row r="797" spans="1:1" ht="15.75" customHeight="1" x14ac:dyDescent="0.15"/>
    <row r="798" spans="1:1" ht="15.75" customHeight="1" x14ac:dyDescent="0.15"/>
    <row r="799" spans="1:1" ht="15.75" customHeight="1" x14ac:dyDescent="0.15"/>
    <row r="800" spans="1:1" ht="15.75" customHeight="1" x14ac:dyDescent="0.15"/>
    <row r="801" spans="1:1" ht="15.75" customHeight="1" x14ac:dyDescent="0.15"/>
    <row r="802" spans="1:1" ht="15.75" customHeight="1" x14ac:dyDescent="0.15"/>
    <row r="803" spans="1:1" ht="15.75" customHeight="1" x14ac:dyDescent="0.15"/>
    <row r="804" spans="1:1" ht="15.75" customHeight="1" x14ac:dyDescent="0.15"/>
    <row r="805" spans="1:1" ht="15.75" customHeight="1" x14ac:dyDescent="0.15"/>
    <row r="806" spans="1:1" ht="15.75" customHeight="1" x14ac:dyDescent="0.15"/>
    <row r="807" spans="1:1" ht="15.75" customHeight="1" x14ac:dyDescent="0.15"/>
    <row r="808" spans="1:1" ht="15.75" customHeight="1" x14ac:dyDescent="0.15"/>
    <row r="809" spans="1:1" ht="15.75" customHeight="1" x14ac:dyDescent="0.15"/>
    <row r="810" spans="1:1" ht="15.75" customHeight="1" x14ac:dyDescent="0.15"/>
    <row r="811" spans="1:1" ht="15.75" customHeight="1" x14ac:dyDescent="0.15"/>
    <row r="812" spans="1:1" ht="15.75" customHeight="1" x14ac:dyDescent="0.15"/>
    <row r="813" spans="1:1" ht="15.75" customHeight="1" x14ac:dyDescent="0.15"/>
    <row r="814" spans="1:1" ht="15.75" customHeight="1" x14ac:dyDescent="0.15"/>
    <row r="815" spans="1:1" ht="15.75" customHeight="1" x14ac:dyDescent="0.15"/>
    <row r="816" spans="1:1" ht="15.75" customHeight="1" x14ac:dyDescent="0.15"/>
    <row r="817" spans="1:1" ht="15.75" customHeight="1" x14ac:dyDescent="0.15"/>
    <row r="818" spans="1:1" ht="15.75" customHeight="1" x14ac:dyDescent="0.15"/>
    <row r="819" spans="1:1" ht="15.75" customHeight="1" x14ac:dyDescent="0.15"/>
    <row r="820" spans="1:1" ht="15.75" customHeight="1" x14ac:dyDescent="0.15"/>
    <row r="821" spans="1:1" ht="15.75" customHeight="1" x14ac:dyDescent="0.15"/>
    <row r="822" spans="1:1" ht="15.75" customHeight="1" x14ac:dyDescent="0.15"/>
    <row r="823" spans="1:1" ht="15.75" customHeight="1" x14ac:dyDescent="0.15"/>
    <row r="824" spans="1:1" ht="15.75" customHeight="1" x14ac:dyDescent="0.15"/>
    <row r="825" spans="1:1" ht="15.75" customHeight="1" x14ac:dyDescent="0.15"/>
    <row r="826" spans="1:1" ht="15.75" customHeight="1" x14ac:dyDescent="0.15"/>
    <row r="827" spans="1:1" ht="15.75" customHeight="1" x14ac:dyDescent="0.15"/>
    <row r="828" spans="1:1" ht="15.75" customHeight="1" x14ac:dyDescent="0.15"/>
    <row r="829" spans="1:1" ht="15.75" customHeight="1" x14ac:dyDescent="0.15"/>
    <row r="830" spans="1:1" ht="15.75" customHeight="1" x14ac:dyDescent="0.15"/>
    <row r="831" spans="1:1" ht="15.75" customHeight="1" x14ac:dyDescent="0.15"/>
    <row r="832" spans="1:1" ht="15.75" customHeight="1" x14ac:dyDescent="0.15"/>
    <row r="833" spans="1:1" ht="15.75" customHeight="1" x14ac:dyDescent="0.15"/>
    <row r="834" spans="1:1" ht="15.75" customHeight="1" x14ac:dyDescent="0.15"/>
    <row r="835" spans="1:1" ht="15.75" customHeight="1" x14ac:dyDescent="0.15"/>
    <row r="836" spans="1:1" ht="15.75" customHeight="1" x14ac:dyDescent="0.15"/>
    <row r="837" spans="1:1" ht="15.75" customHeight="1" x14ac:dyDescent="0.15"/>
    <row r="838" spans="1:1" ht="15.75" customHeight="1" x14ac:dyDescent="0.15"/>
    <row r="839" spans="1:1" ht="15.75" customHeight="1" x14ac:dyDescent="0.15"/>
    <row r="840" spans="1:1" ht="15.75" customHeight="1" x14ac:dyDescent="0.15"/>
    <row r="841" spans="1:1" ht="15.75" customHeight="1" x14ac:dyDescent="0.15"/>
    <row r="842" spans="1:1" ht="15.75" customHeight="1" x14ac:dyDescent="0.15"/>
    <row r="843" spans="1:1" ht="15.75" customHeight="1" x14ac:dyDescent="0.15"/>
    <row r="844" spans="1:1" ht="15.75" customHeight="1" x14ac:dyDescent="0.15"/>
    <row r="845" spans="1:1" ht="15.75" customHeight="1" x14ac:dyDescent="0.15"/>
    <row r="846" spans="1:1" ht="15.75" customHeight="1" x14ac:dyDescent="0.15"/>
    <row r="847" spans="1:1" ht="15.75" customHeight="1" x14ac:dyDescent="0.15"/>
    <row r="848" spans="1:1" ht="15.75" customHeight="1" x14ac:dyDescent="0.15"/>
    <row r="849" spans="1:1" ht="15.75" customHeight="1" x14ac:dyDescent="0.15"/>
    <row r="850" spans="1:1" ht="15.75" customHeight="1" x14ac:dyDescent="0.15"/>
    <row r="851" spans="1:1" ht="15.75" customHeight="1" x14ac:dyDescent="0.15"/>
    <row r="852" spans="1:1" ht="15.75" customHeight="1" x14ac:dyDescent="0.15"/>
    <row r="853" spans="1:1" ht="15.75" customHeight="1" x14ac:dyDescent="0.15"/>
    <row r="854" spans="1:1" ht="15.75" customHeight="1" x14ac:dyDescent="0.15"/>
    <row r="855" spans="1:1" ht="15.75" customHeight="1" x14ac:dyDescent="0.15"/>
    <row r="856" spans="1:1" ht="15.75" customHeight="1" x14ac:dyDescent="0.15"/>
    <row r="857" spans="1:1" ht="15.75" customHeight="1" x14ac:dyDescent="0.15"/>
    <row r="858" spans="1:1" ht="15.75" customHeight="1" x14ac:dyDescent="0.15"/>
    <row r="859" spans="1:1" ht="15.75" customHeight="1" x14ac:dyDescent="0.15"/>
    <row r="860" spans="1:1" ht="15.75" customHeight="1" x14ac:dyDescent="0.15"/>
    <row r="861" spans="1:1" ht="15.75" customHeight="1" x14ac:dyDescent="0.15"/>
    <row r="862" spans="1:1" ht="15.75" customHeight="1" x14ac:dyDescent="0.15"/>
    <row r="863" spans="1:1" ht="15.75" customHeight="1" x14ac:dyDescent="0.15"/>
    <row r="864" spans="1:1" ht="15.75" customHeight="1" x14ac:dyDescent="0.15"/>
    <row r="865" spans="1:1" ht="15.75" customHeight="1" x14ac:dyDescent="0.15"/>
    <row r="866" spans="1:1" ht="15.75" customHeight="1" x14ac:dyDescent="0.15"/>
    <row r="867" spans="1:1" ht="15.75" customHeight="1" x14ac:dyDescent="0.15"/>
    <row r="868" spans="1:1" ht="15.75" customHeight="1" x14ac:dyDescent="0.15"/>
    <row r="869" spans="1:1" ht="15.75" customHeight="1" x14ac:dyDescent="0.15"/>
    <row r="870" spans="1:1" ht="15.75" customHeight="1" x14ac:dyDescent="0.15"/>
    <row r="871" spans="1:1" ht="15.75" customHeight="1" x14ac:dyDescent="0.15"/>
    <row r="872" spans="1:1" ht="15.75" customHeight="1" x14ac:dyDescent="0.15"/>
    <row r="873" spans="1:1" ht="15.75" customHeight="1" x14ac:dyDescent="0.15"/>
    <row r="874" spans="1:1" ht="15.75" customHeight="1" x14ac:dyDescent="0.15"/>
    <row r="875" spans="1:1" ht="15.75" customHeight="1" x14ac:dyDescent="0.15"/>
    <row r="876" spans="1:1" ht="15.75" customHeight="1" x14ac:dyDescent="0.15"/>
    <row r="877" spans="1:1" ht="15.75" customHeight="1" x14ac:dyDescent="0.15"/>
    <row r="878" spans="1:1" ht="15.75" customHeight="1" x14ac:dyDescent="0.15"/>
    <row r="879" spans="1:1" ht="15.75" customHeight="1" x14ac:dyDescent="0.15"/>
    <row r="880" spans="1:1" ht="15.75" customHeight="1" x14ac:dyDescent="0.15"/>
    <row r="881" spans="1:1" ht="15.75" customHeight="1" x14ac:dyDescent="0.15"/>
    <row r="882" spans="1:1" ht="15.75" customHeight="1" x14ac:dyDescent="0.15"/>
    <row r="883" spans="1:1" ht="15.75" customHeight="1" x14ac:dyDescent="0.15"/>
    <row r="884" spans="1:1" ht="15.75" customHeight="1" x14ac:dyDescent="0.15"/>
    <row r="885" spans="1:1" ht="15.75" customHeight="1" x14ac:dyDescent="0.15"/>
    <row r="886" spans="1:1" ht="15.75" customHeight="1" x14ac:dyDescent="0.15"/>
    <row r="887" spans="1:1" ht="15.75" customHeight="1" x14ac:dyDescent="0.15"/>
    <row r="888" spans="1:1" ht="15.75" customHeight="1" x14ac:dyDescent="0.15"/>
    <row r="889" spans="1:1" ht="15.75" customHeight="1" x14ac:dyDescent="0.15"/>
    <row r="890" spans="1:1" ht="15.75" customHeight="1" x14ac:dyDescent="0.15"/>
    <row r="891" spans="1:1" ht="15.75" customHeight="1" x14ac:dyDescent="0.15"/>
    <row r="892" spans="1:1" ht="15.75" customHeight="1" x14ac:dyDescent="0.15"/>
    <row r="893" spans="1:1" ht="15.75" customHeight="1" x14ac:dyDescent="0.15"/>
    <row r="894" spans="1:1" ht="15.75" customHeight="1" x14ac:dyDescent="0.15"/>
    <row r="895" spans="1:1" ht="15.75" customHeight="1" x14ac:dyDescent="0.15"/>
    <row r="896" spans="1:1" ht="15.75" customHeight="1" x14ac:dyDescent="0.15"/>
    <row r="897" spans="1:1" ht="15.75" customHeight="1" x14ac:dyDescent="0.15"/>
    <row r="898" spans="1:1" ht="15.75" customHeight="1" x14ac:dyDescent="0.15"/>
    <row r="899" spans="1:1" ht="15.75" customHeight="1" x14ac:dyDescent="0.15"/>
    <row r="900" spans="1:1" ht="15.75" customHeight="1" x14ac:dyDescent="0.15"/>
    <row r="901" spans="1:1" ht="15.75" customHeight="1" x14ac:dyDescent="0.15"/>
    <row r="902" spans="1:1" ht="15.75" customHeight="1" x14ac:dyDescent="0.15"/>
    <row r="903" spans="1:1" ht="15.75" customHeight="1" x14ac:dyDescent="0.15"/>
    <row r="904" spans="1:1" ht="15.75" customHeight="1" x14ac:dyDescent="0.15"/>
    <row r="905" spans="1:1" ht="15.75" customHeight="1" x14ac:dyDescent="0.15"/>
    <row r="906" spans="1:1" ht="15.75" customHeight="1" x14ac:dyDescent="0.15"/>
    <row r="907" spans="1:1" ht="15.75" customHeight="1" x14ac:dyDescent="0.15"/>
    <row r="908" spans="1:1" ht="15.75" customHeight="1" x14ac:dyDescent="0.15"/>
    <row r="909" spans="1:1" ht="15.75" customHeight="1" x14ac:dyDescent="0.15"/>
    <row r="910" spans="1:1" ht="15.75" customHeight="1" x14ac:dyDescent="0.15"/>
    <row r="911" spans="1:1" ht="15.75" customHeight="1" x14ac:dyDescent="0.15"/>
    <row r="912" spans="1:1" ht="15.75" customHeight="1" x14ac:dyDescent="0.15"/>
    <row r="913" spans="1:1" ht="15.75" customHeight="1" x14ac:dyDescent="0.15"/>
    <row r="914" spans="1:1" ht="15.75" customHeight="1" x14ac:dyDescent="0.15"/>
    <row r="915" spans="1:1" ht="15.75" customHeight="1" x14ac:dyDescent="0.15"/>
    <row r="916" spans="1:1" ht="15.75" customHeight="1" x14ac:dyDescent="0.15"/>
    <row r="917" spans="1:1" ht="15.75" customHeight="1" x14ac:dyDescent="0.15"/>
    <row r="918" spans="1:1" ht="15.75" customHeight="1" x14ac:dyDescent="0.15"/>
    <row r="919" spans="1:1" ht="15.75" customHeight="1" x14ac:dyDescent="0.15"/>
    <row r="920" spans="1:1" ht="15.75" customHeight="1" x14ac:dyDescent="0.15"/>
    <row r="921" spans="1:1" ht="15.75" customHeight="1" x14ac:dyDescent="0.15"/>
    <row r="922" spans="1:1" ht="15.75" customHeight="1" x14ac:dyDescent="0.15"/>
    <row r="923" spans="1:1" ht="15.75" customHeight="1" x14ac:dyDescent="0.15"/>
    <row r="924" spans="1:1" ht="15.75" customHeight="1" x14ac:dyDescent="0.15"/>
    <row r="925" spans="1:1" ht="15.75" customHeight="1" x14ac:dyDescent="0.15"/>
    <row r="926" spans="1:1" ht="15.75" customHeight="1" x14ac:dyDescent="0.15"/>
    <row r="927" spans="1:1" ht="15.75" customHeight="1" x14ac:dyDescent="0.15"/>
    <row r="928" spans="1:1" ht="15.75" customHeight="1" x14ac:dyDescent="0.15"/>
    <row r="929" spans="1:1" ht="15.75" customHeight="1" x14ac:dyDescent="0.15"/>
    <row r="930" spans="1:1" ht="15.75" customHeight="1" x14ac:dyDescent="0.15"/>
    <row r="931" spans="1:1" ht="15.75" customHeight="1" x14ac:dyDescent="0.15"/>
    <row r="932" spans="1:1" ht="15.75" customHeight="1" x14ac:dyDescent="0.15"/>
    <row r="933" spans="1:1" ht="15.75" customHeight="1" x14ac:dyDescent="0.15"/>
    <row r="934" spans="1:1" ht="15.75" customHeight="1" x14ac:dyDescent="0.15"/>
    <row r="935" spans="1:1" ht="15.75" customHeight="1" x14ac:dyDescent="0.15"/>
    <row r="936" spans="1:1" ht="15.75" customHeight="1" x14ac:dyDescent="0.15"/>
    <row r="937" spans="1:1" ht="15.75" customHeight="1" x14ac:dyDescent="0.15"/>
    <row r="938" spans="1:1" ht="15.75" customHeight="1" x14ac:dyDescent="0.15"/>
    <row r="939" spans="1:1" ht="15.75" customHeight="1" x14ac:dyDescent="0.15"/>
    <row r="940" spans="1:1" ht="15.75" customHeight="1" x14ac:dyDescent="0.15"/>
    <row r="941" spans="1:1" ht="15.75" customHeight="1" x14ac:dyDescent="0.15"/>
    <row r="942" spans="1:1" ht="15.75" customHeight="1" x14ac:dyDescent="0.15"/>
    <row r="943" spans="1:1" ht="15.75" customHeight="1" x14ac:dyDescent="0.15"/>
    <row r="944" spans="1:1" ht="15.75" customHeight="1" x14ac:dyDescent="0.15"/>
    <row r="945" spans="1:1" ht="15.75" customHeight="1" x14ac:dyDescent="0.15"/>
    <row r="946" spans="1:1" ht="15.75" customHeight="1" x14ac:dyDescent="0.15"/>
    <row r="947" spans="1:1" ht="15.75" customHeight="1" x14ac:dyDescent="0.15"/>
    <row r="948" spans="1:1" ht="15.75" customHeight="1" x14ac:dyDescent="0.15"/>
    <row r="949" spans="1:1" ht="15.75" customHeight="1" x14ac:dyDescent="0.15"/>
    <row r="950" spans="1:1" ht="15.75" customHeight="1" x14ac:dyDescent="0.15"/>
    <row r="951" spans="1:1" ht="15.75" customHeight="1" x14ac:dyDescent="0.15"/>
    <row r="952" spans="1:1" ht="15.75" customHeight="1" x14ac:dyDescent="0.15"/>
    <row r="953" spans="1:1" ht="15.75" customHeight="1" x14ac:dyDescent="0.15"/>
    <row r="954" spans="1:1" ht="15.75" customHeight="1" x14ac:dyDescent="0.15"/>
    <row r="955" spans="1:1" ht="15.75" customHeight="1" x14ac:dyDescent="0.15"/>
    <row r="956" spans="1:1" ht="15.75" customHeight="1" x14ac:dyDescent="0.15"/>
    <row r="957" spans="1:1" ht="15.75" customHeight="1" x14ac:dyDescent="0.15"/>
    <row r="958" spans="1:1" ht="15.75" customHeight="1" x14ac:dyDescent="0.15"/>
    <row r="959" spans="1:1" ht="15.75" customHeight="1" x14ac:dyDescent="0.15"/>
    <row r="960" spans="1:1" ht="15.75" customHeight="1" x14ac:dyDescent="0.15"/>
    <row r="961" spans="1:1" ht="15.75" customHeight="1" x14ac:dyDescent="0.15"/>
    <row r="962" spans="1:1" ht="15.75" customHeight="1" x14ac:dyDescent="0.15"/>
    <row r="963" spans="1:1" ht="15.75" customHeight="1" x14ac:dyDescent="0.15"/>
    <row r="964" spans="1:1" ht="15.75" customHeight="1" x14ac:dyDescent="0.15"/>
    <row r="965" spans="1:1" ht="15.75" customHeight="1" x14ac:dyDescent="0.15"/>
    <row r="966" spans="1:1" ht="15.75" customHeight="1" x14ac:dyDescent="0.15"/>
    <row r="967" spans="1:1" ht="15.75" customHeight="1" x14ac:dyDescent="0.15"/>
    <row r="968" spans="1:1" ht="15.75" customHeight="1" x14ac:dyDescent="0.15"/>
    <row r="969" spans="1:1" ht="15.75" customHeight="1" x14ac:dyDescent="0.15"/>
    <row r="970" spans="1:1" ht="15.75" customHeight="1" x14ac:dyDescent="0.15"/>
    <row r="971" spans="1:1" ht="15.75" customHeight="1" x14ac:dyDescent="0.15"/>
    <row r="972" spans="1:1" ht="15.75" customHeight="1" x14ac:dyDescent="0.15"/>
    <row r="973" spans="1:1" ht="15.75" customHeight="1" x14ac:dyDescent="0.15"/>
    <row r="974" spans="1:1" ht="15.75" customHeight="1" x14ac:dyDescent="0.15"/>
    <row r="975" spans="1:1" ht="15.75" customHeight="1" x14ac:dyDescent="0.15"/>
    <row r="976" spans="1:1" ht="15.75" customHeight="1" x14ac:dyDescent="0.15"/>
    <row r="977" spans="1:1" ht="15.75" customHeight="1" x14ac:dyDescent="0.15"/>
    <row r="978" spans="1:1" ht="15.75" customHeight="1" x14ac:dyDescent="0.15"/>
    <row r="979" spans="1:1" ht="15.75" customHeight="1" x14ac:dyDescent="0.15"/>
    <row r="980" spans="1:1" ht="15.75" customHeight="1" x14ac:dyDescent="0.15"/>
    <row r="981" spans="1:1" ht="15.75" customHeight="1" x14ac:dyDescent="0.15"/>
    <row r="982" spans="1:1" ht="15.75" customHeight="1" x14ac:dyDescent="0.15"/>
    <row r="983" spans="1:1" ht="15.75" customHeight="1" x14ac:dyDescent="0.15"/>
    <row r="984" spans="1:1" ht="15.75" customHeight="1" x14ac:dyDescent="0.15"/>
    <row r="985" spans="1:1" ht="15.75" customHeight="1" x14ac:dyDescent="0.15"/>
    <row r="986" spans="1:1" ht="15.75" customHeight="1" x14ac:dyDescent="0.15"/>
    <row r="987" spans="1:1" ht="15.75" customHeight="1" x14ac:dyDescent="0.15"/>
    <row r="988" spans="1:1" ht="15.75" customHeight="1" x14ac:dyDescent="0.15"/>
    <row r="989" spans="1:1" ht="15.75" customHeight="1" x14ac:dyDescent="0.15"/>
    <row r="990" spans="1:1" ht="15.75" customHeight="1" x14ac:dyDescent="0.15"/>
    <row r="991" spans="1:1" ht="15.75" customHeight="1" x14ac:dyDescent="0.15"/>
    <row r="992" spans="1:1" ht="15.75" customHeight="1" x14ac:dyDescent="0.15"/>
    <row r="993" spans="1:1" ht="15.75" customHeight="1" x14ac:dyDescent="0.15"/>
    <row r="994" spans="1:1" ht="15.75" customHeight="1" x14ac:dyDescent="0.15"/>
    <row r="995" spans="1:1" ht="15.75" customHeight="1" x14ac:dyDescent="0.15"/>
    <row r="996" spans="1:1" ht="15.75" customHeight="1" x14ac:dyDescent="0.15"/>
    <row r="997" spans="1:1" ht="15.75" customHeight="1" x14ac:dyDescent="0.15"/>
    <row r="998" spans="1:1" ht="15.75" customHeight="1" x14ac:dyDescent="0.15"/>
    <row r="999" spans="1:1" ht="15.75" customHeight="1" x14ac:dyDescent="0.15"/>
    <row r="1000" spans="1:1" ht="15.75" customHeight="1" x14ac:dyDescent="0.15"/>
    <row r="1001" spans="1:1" ht="15.75" customHeight="1" x14ac:dyDescent="0.15"/>
    <row r="1002" spans="1:1" ht="15.75" customHeight="1" x14ac:dyDescent="0.15"/>
    <row r="1003" spans="1:1" ht="15.75" customHeight="1" x14ac:dyDescent="0.15"/>
    <row r="1004" spans="1:1" ht="15.75" customHeight="1" x14ac:dyDescent="0.15"/>
    <row r="1005" spans="1:1" ht="15.75" customHeight="1" x14ac:dyDescent="0.15"/>
    <row r="1006" spans="1:1" ht="15.75" customHeight="1" x14ac:dyDescent="0.15"/>
    <row r="1007" spans="1:1" ht="15.75" customHeight="1" x14ac:dyDescent="0.15"/>
    <row r="1008" spans="1:1" ht="15.75" customHeight="1" x14ac:dyDescent="0.15"/>
    <row r="1009" spans="1:1" ht="15.75" customHeight="1" x14ac:dyDescent="0.15"/>
    <row r="1010" spans="1:1" ht="15.75" customHeight="1" x14ac:dyDescent="0.15"/>
    <row r="1011" spans="1:1" ht="15.75" customHeight="1" x14ac:dyDescent="0.15"/>
    <row r="1012" spans="1:1" ht="15.75" customHeight="1" x14ac:dyDescent="0.15"/>
    <row r="1013" spans="1:1" ht="15.75" customHeight="1" x14ac:dyDescent="0.15"/>
    <row r="1014" spans="1:1" ht="15.75" customHeight="1" x14ac:dyDescent="0.15"/>
    <row r="1015" spans="1:1" ht="15.75" customHeight="1" x14ac:dyDescent="0.15"/>
    <row r="1016" spans="1:1" ht="15.75" customHeight="1" x14ac:dyDescent="0.15"/>
    <row r="1017" spans="1:1" ht="15.75" customHeight="1" x14ac:dyDescent="0.15"/>
    <row r="1018" spans="1:1" ht="15.75" customHeight="1" x14ac:dyDescent="0.15"/>
    <row r="1019" spans="1:1" ht="15.75" customHeight="1" x14ac:dyDescent="0.15"/>
    <row r="1020" spans="1:1" ht="15.75" customHeight="1" x14ac:dyDescent="0.15"/>
    <row r="1021" spans="1:1" ht="15.75" customHeight="1" x14ac:dyDescent="0.15"/>
    <row r="1022" spans="1:1" ht="15.75" customHeight="1" x14ac:dyDescent="0.15"/>
    <row r="1023" spans="1:1" ht="15.75" customHeight="1" x14ac:dyDescent="0.15"/>
    <row r="1024" spans="1:1" ht="15.75" customHeight="1" x14ac:dyDescent="0.15"/>
    <row r="1025" spans="1:1" ht="15.75" customHeight="1" x14ac:dyDescent="0.15"/>
    <row r="1026" spans="1:1" ht="15.75" customHeight="1" x14ac:dyDescent="0.15"/>
    <row r="1027" spans="1:1" ht="15.75" customHeight="1" x14ac:dyDescent="0.15"/>
    <row r="1028" spans="1:1" ht="15.75" customHeight="1" x14ac:dyDescent="0.15"/>
    <row r="1029" spans="1:1" ht="15.75" customHeight="1" x14ac:dyDescent="0.15"/>
    <row r="1030" spans="1:1" ht="15.75" customHeight="1" x14ac:dyDescent="0.15"/>
    <row r="1031" spans="1:1" ht="15.75" customHeight="1" x14ac:dyDescent="0.15"/>
    <row r="1032" spans="1:1" ht="15.75" customHeight="1" x14ac:dyDescent="0.15"/>
    <row r="1033" spans="1:1" ht="15.75" customHeight="1" x14ac:dyDescent="0.15"/>
    <row r="1034" spans="1:1" ht="15.75" customHeight="1" x14ac:dyDescent="0.15"/>
    <row r="1035" spans="1:1" ht="15.75" customHeight="1" x14ac:dyDescent="0.15"/>
    <row r="1036" spans="1:1" ht="15.75" customHeight="1" x14ac:dyDescent="0.15"/>
    <row r="1037" spans="1:1" ht="15.75" customHeight="1" x14ac:dyDescent="0.15"/>
    <row r="1038" spans="1:1" ht="15.75" customHeight="1" x14ac:dyDescent="0.15"/>
    <row r="1039" spans="1:1" ht="15.75" customHeight="1" x14ac:dyDescent="0.15"/>
    <row r="1040" spans="1:1" ht="15.75" customHeight="1" x14ac:dyDescent="0.15"/>
    <row r="1041" spans="1:1" ht="15.75" customHeight="1" x14ac:dyDescent="0.15"/>
    <row r="1042" spans="1:1" ht="15.75" customHeight="1" x14ac:dyDescent="0.15"/>
    <row r="1043" spans="1:1" ht="15.75" customHeight="1" x14ac:dyDescent="0.15"/>
    <row r="1044" spans="1:1" ht="15.75" customHeight="1" x14ac:dyDescent="0.15"/>
    <row r="1045" spans="1:1" ht="15.75" customHeight="1" x14ac:dyDescent="0.15"/>
    <row r="1046" spans="1:1" ht="15.75" customHeight="1" x14ac:dyDescent="0.15"/>
    <row r="1047" spans="1:1" ht="15.75" customHeight="1" x14ac:dyDescent="0.15"/>
    <row r="1048" spans="1:1" ht="15.75" customHeight="1" x14ac:dyDescent="0.15"/>
    <row r="1049" spans="1:1" ht="15.75" customHeight="1" x14ac:dyDescent="0.15"/>
    <row r="1050" spans="1:1" ht="15.75" customHeight="1" x14ac:dyDescent="0.15"/>
    <row r="1051" spans="1:1" ht="15.75" customHeight="1" x14ac:dyDescent="0.15"/>
    <row r="1052" spans="1:1" ht="15.75" customHeight="1" x14ac:dyDescent="0.15"/>
    <row r="1053" spans="1:1" ht="15.75" customHeight="1" x14ac:dyDescent="0.15"/>
    <row r="1054" spans="1:1" ht="15.75" customHeight="1" x14ac:dyDescent="0.15"/>
    <row r="1055" spans="1:1" ht="15.75" customHeight="1" x14ac:dyDescent="0.15"/>
    <row r="1056" spans="1:1" ht="15.75" customHeight="1" x14ac:dyDescent="0.15"/>
    <row r="1057" spans="1:1" ht="15.75" customHeight="1" x14ac:dyDescent="0.15"/>
    <row r="1058" spans="1:1" ht="15.75" customHeight="1" x14ac:dyDescent="0.15"/>
    <row r="1059" spans="1:1" ht="15.75" customHeight="1" x14ac:dyDescent="0.15"/>
    <row r="1060" spans="1:1" ht="15.75" customHeight="1" x14ac:dyDescent="0.15"/>
    <row r="1061" spans="1:1" ht="15.75" customHeight="1" x14ac:dyDescent="0.15"/>
    <row r="1062" spans="1:1" ht="15.75" customHeight="1" x14ac:dyDescent="0.15"/>
    <row r="1063" spans="1:1" ht="15.75" customHeight="1" x14ac:dyDescent="0.15"/>
    <row r="1064" spans="1:1" ht="15.75" customHeight="1" x14ac:dyDescent="0.15"/>
    <row r="1065" spans="1:1" ht="15.75" customHeight="1" x14ac:dyDescent="0.15"/>
    <row r="1066" spans="1:1" ht="15.75" customHeight="1" x14ac:dyDescent="0.15"/>
    <row r="1067" spans="1:1" ht="15.75" customHeight="1" x14ac:dyDescent="0.15"/>
    <row r="1068" spans="1:1" ht="15.75" customHeight="1" x14ac:dyDescent="0.15"/>
    <row r="1069" spans="1:1" ht="15.75" customHeight="1" x14ac:dyDescent="0.15"/>
    <row r="1070" spans="1:1" ht="15.75" customHeight="1" x14ac:dyDescent="0.15"/>
    <row r="1071" spans="1:1" ht="15.75" customHeight="1" x14ac:dyDescent="0.15"/>
    <row r="1072" spans="1:1" ht="15.75" customHeight="1" x14ac:dyDescent="0.15"/>
    <row r="1073" spans="1:1" ht="15.75" customHeight="1" x14ac:dyDescent="0.15"/>
    <row r="1074" spans="1:1" ht="15.75" customHeight="1" x14ac:dyDescent="0.15"/>
    <row r="1075" spans="1:1" ht="15.75" customHeight="1" x14ac:dyDescent="0.15"/>
    <row r="1076" spans="1:1" ht="15.75" customHeight="1" x14ac:dyDescent="0.15"/>
    <row r="1077" spans="1:1" ht="15.75" customHeight="1" x14ac:dyDescent="0.15"/>
    <row r="1078" spans="1:1" ht="15.75" customHeight="1" x14ac:dyDescent="0.15"/>
    <row r="1079" spans="1:1" ht="15.75" customHeight="1" x14ac:dyDescent="0.15"/>
    <row r="1080" spans="1:1" ht="15.75" customHeight="1" x14ac:dyDescent="0.15"/>
    <row r="1081" spans="1:1" ht="15.75" customHeight="1" x14ac:dyDescent="0.15"/>
    <row r="1082" spans="1:1" ht="15.75" customHeight="1" x14ac:dyDescent="0.15"/>
    <row r="1083" spans="1:1" ht="15.75" customHeight="1" x14ac:dyDescent="0.15"/>
    <row r="1084" spans="1:1" ht="15.75" customHeight="1" x14ac:dyDescent="0.15"/>
    <row r="1085" spans="1:1" ht="15.75" customHeight="1" x14ac:dyDescent="0.15"/>
    <row r="1086" spans="1:1" ht="15.75" customHeight="1" x14ac:dyDescent="0.15"/>
    <row r="1087" spans="1:1" ht="15.75" customHeight="1" x14ac:dyDescent="0.15"/>
    <row r="1088" spans="1:1" ht="15.75" customHeight="1" x14ac:dyDescent="0.15"/>
    <row r="1089" spans="1:1" ht="15.75" customHeight="1" x14ac:dyDescent="0.15"/>
    <row r="1090" spans="1:1" ht="15.75" customHeight="1" x14ac:dyDescent="0.15"/>
    <row r="1091" spans="1:1" ht="15.75" customHeight="1" x14ac:dyDescent="0.15"/>
    <row r="1092" spans="1:1" ht="15.75" customHeight="1" x14ac:dyDescent="0.15"/>
    <row r="1093" spans="1:1" ht="15.75" customHeight="1" x14ac:dyDescent="0.15"/>
    <row r="1094" spans="1:1" ht="15.75" customHeight="1" x14ac:dyDescent="0.15"/>
    <row r="1095" spans="1:1" ht="15.75" customHeight="1" x14ac:dyDescent="0.15"/>
    <row r="1096" spans="1:1" ht="15.75" customHeight="1" x14ac:dyDescent="0.15"/>
    <row r="1097" spans="1:1" ht="15.75" customHeight="1" x14ac:dyDescent="0.15"/>
    <row r="1098" spans="1:1" ht="15.75" customHeight="1" x14ac:dyDescent="0.15"/>
    <row r="1099" spans="1:1" ht="15.75" customHeight="1" x14ac:dyDescent="0.15"/>
    <row r="1100" spans="1:1" ht="15.75" customHeight="1" x14ac:dyDescent="0.15"/>
    <row r="1101" spans="1:1" ht="15.75" customHeight="1" x14ac:dyDescent="0.15"/>
    <row r="1102" spans="1:1" ht="15.75" customHeight="1" x14ac:dyDescent="0.15"/>
    <row r="1103" spans="1:1" ht="15.75" customHeight="1" x14ac:dyDescent="0.15"/>
    <row r="1104" spans="1:1" ht="15.75" customHeight="1" x14ac:dyDescent="0.15"/>
    <row r="1105" spans="1:1" ht="15.75" customHeight="1" x14ac:dyDescent="0.15"/>
    <row r="1106" spans="1:1" ht="15.75" customHeight="1" x14ac:dyDescent="0.15"/>
    <row r="1107" spans="1:1" ht="15.75" customHeight="1" x14ac:dyDescent="0.15"/>
    <row r="1108" spans="1:1" ht="15.75" customHeight="1" x14ac:dyDescent="0.15"/>
    <row r="1109" spans="1:1" ht="15.75" customHeight="1" x14ac:dyDescent="0.15"/>
    <row r="1110" spans="1:1" ht="15.75" customHeight="1" x14ac:dyDescent="0.15"/>
    <row r="1111" spans="1:1" ht="15.75" customHeight="1" x14ac:dyDescent="0.15"/>
    <row r="1112" spans="1:1" ht="15.75" customHeight="1" x14ac:dyDescent="0.15"/>
    <row r="1113" spans="1:1" ht="15.75" customHeight="1" x14ac:dyDescent="0.15"/>
    <row r="1114" spans="1:1" ht="15.75" customHeight="1" x14ac:dyDescent="0.15"/>
    <row r="1115" spans="1:1" ht="15.75" customHeight="1" x14ac:dyDescent="0.15"/>
    <row r="1116" spans="1:1" ht="15.75" customHeight="1" x14ac:dyDescent="0.15"/>
    <row r="1117" spans="1:1" ht="15.75" customHeight="1" x14ac:dyDescent="0.15"/>
    <row r="1118" spans="1:1" ht="15.75" customHeight="1" x14ac:dyDescent="0.15"/>
    <row r="1119" spans="1:1" ht="15.75" customHeight="1" x14ac:dyDescent="0.15"/>
    <row r="1120" spans="1:1" ht="15.75" customHeight="1" x14ac:dyDescent="0.15"/>
    <row r="1121" spans="1:1" ht="15.75" customHeight="1" x14ac:dyDescent="0.15"/>
    <row r="1122" spans="1:1" ht="15.75" customHeight="1" x14ac:dyDescent="0.15"/>
    <row r="1123" spans="1:1" ht="15.75" customHeight="1" x14ac:dyDescent="0.15"/>
    <row r="1124" spans="1:1" ht="15.75" customHeight="1" x14ac:dyDescent="0.15"/>
    <row r="1125" spans="1:1" ht="15.75" customHeight="1" x14ac:dyDescent="0.15"/>
    <row r="1126" spans="1:1" ht="15.75" customHeight="1" x14ac:dyDescent="0.15"/>
    <row r="1127" spans="1:1" ht="15.75" customHeight="1" x14ac:dyDescent="0.15"/>
    <row r="1128" spans="1:1" ht="15.75" customHeight="1" x14ac:dyDescent="0.15"/>
    <row r="1129" spans="1:1" ht="15.75" customHeight="1" x14ac:dyDescent="0.15"/>
    <row r="1130" spans="1:1" ht="15.75" customHeight="1" x14ac:dyDescent="0.15"/>
    <row r="1131" spans="1:1" ht="15.75" customHeight="1" x14ac:dyDescent="0.15"/>
    <row r="1132" spans="1:1" ht="15.75" customHeight="1" x14ac:dyDescent="0.15"/>
    <row r="1133" spans="1:1" ht="15.75" customHeight="1" x14ac:dyDescent="0.15"/>
    <row r="1134" spans="1:1" ht="15.75" customHeight="1" x14ac:dyDescent="0.15"/>
    <row r="1135" spans="1:1" ht="15.75" customHeight="1" x14ac:dyDescent="0.15"/>
    <row r="1136" spans="1:1" ht="15.75" customHeight="1" x14ac:dyDescent="0.15"/>
    <row r="1137" spans="1:1" ht="15.75" customHeight="1" x14ac:dyDescent="0.15"/>
    <row r="1138" spans="1:1" ht="15.75" customHeight="1" x14ac:dyDescent="0.15"/>
    <row r="1139" spans="1:1" ht="15.75" customHeight="1" x14ac:dyDescent="0.15"/>
    <row r="1140" spans="1:1" ht="15.75" customHeight="1" x14ac:dyDescent="0.15"/>
    <row r="1141" spans="1:1" ht="15.75" customHeight="1" x14ac:dyDescent="0.15"/>
    <row r="1142" spans="1:1" ht="15.75" customHeight="1" x14ac:dyDescent="0.15"/>
    <row r="1143" spans="1:1" ht="15.75" customHeight="1" x14ac:dyDescent="0.15"/>
    <row r="1144" spans="1:1" ht="15.75" customHeight="1" x14ac:dyDescent="0.15"/>
    <row r="1145" spans="1:1" ht="15.75" customHeight="1" x14ac:dyDescent="0.15"/>
    <row r="1146" spans="1:1" ht="15.75" customHeight="1" x14ac:dyDescent="0.15"/>
    <row r="1147" spans="1:1" ht="15.75" customHeight="1" x14ac:dyDescent="0.15"/>
    <row r="1148" spans="1:1" ht="15.75" customHeight="1" x14ac:dyDescent="0.15"/>
    <row r="1149" spans="1:1" ht="15.75" customHeight="1" x14ac:dyDescent="0.15"/>
    <row r="1150" spans="1:1" ht="15.75" customHeight="1" x14ac:dyDescent="0.15"/>
    <row r="1151" spans="1:1" ht="15.75" customHeight="1" x14ac:dyDescent="0.15"/>
    <row r="1152" spans="1:1" ht="15.75" customHeight="1" x14ac:dyDescent="0.15"/>
    <row r="1153" spans="1:1" ht="15.75" customHeight="1" x14ac:dyDescent="0.15"/>
    <row r="1154" spans="1:1" ht="15.75" customHeight="1" x14ac:dyDescent="0.15"/>
    <row r="1155" spans="1:1" ht="15.75" customHeight="1" x14ac:dyDescent="0.15"/>
    <row r="1156" spans="1:1" ht="15.75" customHeight="1" x14ac:dyDescent="0.15"/>
    <row r="1157" spans="1:1" ht="15.75" customHeight="1" x14ac:dyDescent="0.15"/>
    <row r="1158" spans="1:1" ht="15.75" customHeight="1" x14ac:dyDescent="0.15"/>
    <row r="1159" spans="1:1" ht="15.75" customHeight="1" x14ac:dyDescent="0.15"/>
    <row r="1160" spans="1:1" ht="15.75" customHeight="1" x14ac:dyDescent="0.15"/>
    <row r="1161" spans="1:1" ht="15.75" customHeight="1" x14ac:dyDescent="0.15"/>
    <row r="1162" spans="1:1" ht="15.75" customHeight="1" x14ac:dyDescent="0.15"/>
    <row r="1163" spans="1:1" ht="15.75" customHeight="1" x14ac:dyDescent="0.15"/>
    <row r="1164" spans="1:1" ht="15.75" customHeight="1" x14ac:dyDescent="0.15"/>
    <row r="1165" spans="1:1" ht="15.75" customHeight="1" x14ac:dyDescent="0.15"/>
    <row r="1166" spans="1:1" ht="15.75" customHeight="1" x14ac:dyDescent="0.15"/>
    <row r="1167" spans="1:1" ht="15.75" customHeight="1" x14ac:dyDescent="0.15"/>
    <row r="1168" spans="1:1" ht="15.75" customHeight="1" x14ac:dyDescent="0.15"/>
    <row r="1169" spans="1:1" ht="15.75" customHeight="1" x14ac:dyDescent="0.15"/>
    <row r="1170" spans="1:1" ht="15.75" customHeight="1" x14ac:dyDescent="0.15"/>
    <row r="1171" spans="1:1" ht="15.75" customHeight="1" x14ac:dyDescent="0.15"/>
    <row r="1172" spans="1:1" ht="15.75" customHeight="1" x14ac:dyDescent="0.15"/>
    <row r="1173" spans="1:1" ht="15.75" customHeight="1" x14ac:dyDescent="0.15"/>
    <row r="1174" spans="1:1" ht="15.75" customHeight="1" x14ac:dyDescent="0.15"/>
    <row r="1175" spans="1:1" ht="15.75" customHeight="1" x14ac:dyDescent="0.15"/>
    <row r="1176" spans="1:1" ht="15.75" customHeight="1" x14ac:dyDescent="0.15"/>
    <row r="1177" spans="1:1" ht="15.75" customHeight="1" x14ac:dyDescent="0.15"/>
    <row r="1178" spans="1:1" ht="15.75" customHeight="1" x14ac:dyDescent="0.15"/>
    <row r="1179" spans="1:1" ht="15.75" customHeight="1" x14ac:dyDescent="0.15"/>
    <row r="1180" spans="1:1" ht="15.75" customHeight="1" x14ac:dyDescent="0.15"/>
    <row r="1181" spans="1:1" ht="15.75" customHeight="1" x14ac:dyDescent="0.15"/>
    <row r="1182" spans="1:1" ht="15.75" customHeight="1" x14ac:dyDescent="0.15"/>
    <row r="1183" spans="1:1" ht="15.75" customHeight="1" x14ac:dyDescent="0.15"/>
    <row r="1184" spans="1:1" ht="15.75" customHeight="1" x14ac:dyDescent="0.15"/>
    <row r="1185" spans="1:1" ht="15.75" customHeight="1" x14ac:dyDescent="0.15"/>
    <row r="1186" spans="1:1" ht="15.75" customHeight="1" x14ac:dyDescent="0.15"/>
    <row r="1187" spans="1:1" ht="15.75" customHeight="1" x14ac:dyDescent="0.15"/>
    <row r="1188" spans="1:1" ht="15.75" customHeight="1" x14ac:dyDescent="0.15"/>
    <row r="1189" spans="1:1" ht="15.75" customHeight="1" x14ac:dyDescent="0.15"/>
    <row r="1190" spans="1:1" ht="15.75" customHeight="1" x14ac:dyDescent="0.15"/>
    <row r="1191" spans="1:1" ht="15.75" customHeight="1" x14ac:dyDescent="0.15"/>
    <row r="1192" spans="1:1" ht="15.75" customHeight="1" x14ac:dyDescent="0.15"/>
    <row r="1193" spans="1:1" ht="15.75" customHeight="1" x14ac:dyDescent="0.15"/>
    <row r="1194" spans="1:1" ht="15.75" customHeight="1" x14ac:dyDescent="0.15"/>
    <row r="1195" spans="1:1" ht="15.75" customHeight="1" x14ac:dyDescent="0.15"/>
    <row r="1196" spans="1:1" ht="15.75" customHeight="1" x14ac:dyDescent="0.15"/>
    <row r="1197" spans="1:1" ht="15.75" customHeight="1" x14ac:dyDescent="0.15"/>
    <row r="1198" spans="1:1" ht="15.75" customHeight="1" x14ac:dyDescent="0.15"/>
    <row r="1199" spans="1:1" ht="15.75" customHeight="1" x14ac:dyDescent="0.15"/>
    <row r="1200" spans="1:1" ht="15.75" customHeight="1" x14ac:dyDescent="0.15"/>
    <row r="1201" spans="1:1" ht="15.75" customHeight="1" x14ac:dyDescent="0.15"/>
    <row r="1202" spans="1:1" ht="15.75" customHeight="1" x14ac:dyDescent="0.15"/>
    <row r="1203" spans="1:1" ht="15.75" customHeight="1" x14ac:dyDescent="0.15"/>
    <row r="1204" spans="1:1" ht="15.75" customHeight="1" x14ac:dyDescent="0.15"/>
    <row r="1205" spans="1:1" ht="15.75" customHeight="1" x14ac:dyDescent="0.15"/>
    <row r="1206" spans="1:1" ht="15.75" customHeight="1" x14ac:dyDescent="0.15"/>
    <row r="1207" spans="1:1" ht="15.75" customHeight="1" x14ac:dyDescent="0.15"/>
    <row r="1208" spans="1:1" ht="15.75" customHeight="1" x14ac:dyDescent="0.15"/>
    <row r="1209" spans="1:1" ht="15.75" customHeight="1" x14ac:dyDescent="0.15"/>
    <row r="1210" spans="1:1" ht="15.75" customHeight="1" x14ac:dyDescent="0.15"/>
    <row r="1211" spans="1:1" ht="15.75" customHeight="1" x14ac:dyDescent="0.15"/>
    <row r="1212" spans="1:1" ht="15.75" customHeight="1" x14ac:dyDescent="0.15"/>
    <row r="1213" spans="1:1" ht="15.75" customHeight="1" x14ac:dyDescent="0.15"/>
    <row r="1214" spans="1:1" ht="15.75" customHeight="1" x14ac:dyDescent="0.15"/>
    <row r="1215" spans="1:1" ht="15.75" customHeight="1" x14ac:dyDescent="0.15"/>
    <row r="1216" spans="1:1" ht="15.75" customHeight="1" x14ac:dyDescent="0.15"/>
    <row r="1217" spans="1:1" ht="15.75" customHeight="1" x14ac:dyDescent="0.15"/>
    <row r="1218" spans="1:1" ht="15.75" customHeight="1" x14ac:dyDescent="0.15"/>
    <row r="1219" spans="1:1" ht="15.75" customHeight="1" x14ac:dyDescent="0.15"/>
    <row r="1220" spans="1:1" ht="15.75" customHeight="1" x14ac:dyDescent="0.15"/>
    <row r="1221" spans="1:1" ht="15.75" customHeight="1" x14ac:dyDescent="0.15"/>
    <row r="1222" spans="1:1" ht="15.75" customHeight="1" x14ac:dyDescent="0.15"/>
    <row r="1223" spans="1:1" ht="15.75" customHeight="1" x14ac:dyDescent="0.15"/>
    <row r="1224" spans="1:1" ht="15.75" customHeight="1" x14ac:dyDescent="0.15"/>
    <row r="1225" spans="1:1" ht="15.75" customHeight="1" x14ac:dyDescent="0.15"/>
    <row r="1226" spans="1:1" ht="15.75" customHeight="1" x14ac:dyDescent="0.15"/>
    <row r="1227" spans="1:1" ht="15.75" customHeight="1" x14ac:dyDescent="0.15"/>
    <row r="1228" spans="1:1" ht="15.75" customHeight="1" x14ac:dyDescent="0.15"/>
    <row r="1229" spans="1:1" ht="15.75" customHeight="1" x14ac:dyDescent="0.15"/>
    <row r="1230" spans="1:1" ht="15.75" customHeight="1" x14ac:dyDescent="0.15"/>
    <row r="1231" spans="1:1" ht="15.75" customHeight="1" x14ac:dyDescent="0.15"/>
    <row r="1232" spans="1:1" ht="15.75" customHeight="1" x14ac:dyDescent="0.15"/>
    <row r="1233" spans="1:1" ht="15.75" customHeight="1" x14ac:dyDescent="0.15"/>
    <row r="1234" spans="1:1" ht="15.75" customHeight="1" x14ac:dyDescent="0.15"/>
    <row r="1235" spans="1:1" ht="15.75" customHeight="1" x14ac:dyDescent="0.15"/>
    <row r="1236" spans="1:1" ht="15.75" customHeight="1" x14ac:dyDescent="0.15"/>
    <row r="1237" spans="1:1" ht="15.75" customHeight="1" x14ac:dyDescent="0.15"/>
    <row r="1238" spans="1:1" ht="15.75" customHeight="1" x14ac:dyDescent="0.15"/>
    <row r="1239" spans="1:1" ht="15.75" customHeight="1" x14ac:dyDescent="0.15"/>
    <row r="1240" spans="1:1" ht="15.75" customHeight="1" x14ac:dyDescent="0.15"/>
    <row r="1241" spans="1:1" ht="15.75" customHeight="1" x14ac:dyDescent="0.15"/>
    <row r="1242" spans="1:1" ht="15.75" customHeight="1" x14ac:dyDescent="0.15"/>
    <row r="1243" spans="1:1" ht="15.75" customHeight="1" x14ac:dyDescent="0.15"/>
    <row r="1244" spans="1:1" ht="15.75" customHeight="1" x14ac:dyDescent="0.15"/>
    <row r="1245" spans="1:1" ht="15.75" customHeight="1" x14ac:dyDescent="0.15"/>
    <row r="1246" spans="1:1" ht="15.75" customHeight="1" x14ac:dyDescent="0.15"/>
    <row r="1247" spans="1:1" ht="15.75" customHeight="1" x14ac:dyDescent="0.15"/>
    <row r="1248" spans="1:1" ht="15.75" customHeight="1" x14ac:dyDescent="0.15"/>
    <row r="1249" spans="1:1" ht="15.75" customHeight="1" x14ac:dyDescent="0.15"/>
    <row r="1250" spans="1:1" ht="15.75" customHeight="1" x14ac:dyDescent="0.15"/>
    <row r="1251" spans="1:1" ht="15.75" customHeight="1" x14ac:dyDescent="0.15"/>
    <row r="1252" spans="1:1" ht="15.75" customHeight="1" x14ac:dyDescent="0.15"/>
    <row r="1253" spans="1:1" ht="15.75" customHeight="1" x14ac:dyDescent="0.15"/>
    <row r="1254" spans="1:1" ht="15.75" customHeight="1" x14ac:dyDescent="0.15"/>
    <row r="1255" spans="1:1" ht="15.75" customHeight="1" x14ac:dyDescent="0.15"/>
    <row r="1256" spans="1:1" ht="15.75" customHeight="1" x14ac:dyDescent="0.15"/>
    <row r="1257" spans="1:1" ht="15.75" customHeight="1" x14ac:dyDescent="0.15"/>
    <row r="1258" spans="1:1" ht="15.75" customHeight="1" x14ac:dyDescent="0.15"/>
    <row r="1259" spans="1:1" ht="15.75" customHeight="1" x14ac:dyDescent="0.15"/>
    <row r="1260" spans="1:1" ht="15.75" customHeight="1" x14ac:dyDescent="0.15"/>
    <row r="1261" spans="1:1" ht="15.75" customHeight="1" x14ac:dyDescent="0.15"/>
    <row r="1262" spans="1:1" ht="15.75" customHeight="1" x14ac:dyDescent="0.15"/>
    <row r="1263" spans="1:1" ht="15.75" customHeight="1" x14ac:dyDescent="0.15"/>
    <row r="1264" spans="1:1" ht="15.75" customHeight="1" x14ac:dyDescent="0.15"/>
    <row r="1265" spans="1:1" ht="15.75" customHeight="1" x14ac:dyDescent="0.15"/>
    <row r="1266" spans="1:1" ht="15.75" customHeight="1" x14ac:dyDescent="0.15"/>
    <row r="1267" spans="1:1" ht="15.75" customHeight="1" x14ac:dyDescent="0.15"/>
    <row r="1268" spans="1:1" ht="15.75" customHeight="1" x14ac:dyDescent="0.15"/>
    <row r="1269" spans="1:1" ht="15.75" customHeight="1" x14ac:dyDescent="0.15"/>
    <row r="1270" spans="1:1" ht="15.75" customHeight="1" x14ac:dyDescent="0.15"/>
    <row r="1271" spans="1:1" ht="15.75" customHeight="1" x14ac:dyDescent="0.15"/>
    <row r="1272" spans="1:1" ht="15.75" customHeight="1" x14ac:dyDescent="0.15"/>
    <row r="1273" spans="1:1" ht="15.75" customHeight="1" x14ac:dyDescent="0.15"/>
    <row r="1274" spans="1:1" ht="15.75" customHeight="1" x14ac:dyDescent="0.15"/>
    <row r="1275" spans="1:1" ht="15.75" customHeight="1" x14ac:dyDescent="0.15"/>
    <row r="1276" spans="1:1" ht="15.75" customHeight="1" x14ac:dyDescent="0.15"/>
    <row r="1277" spans="1:1" ht="15.75" customHeight="1" x14ac:dyDescent="0.15"/>
    <row r="1278" spans="1:1" ht="15.75" customHeight="1" x14ac:dyDescent="0.15"/>
    <row r="1279" spans="1:1" ht="15.75" customHeight="1" x14ac:dyDescent="0.15"/>
    <row r="1280" spans="1:1" ht="15.75" customHeight="1" x14ac:dyDescent="0.15"/>
    <row r="1281" spans="1:1" ht="15.75" customHeight="1" x14ac:dyDescent="0.15"/>
    <row r="1282" spans="1:1" ht="15.75" customHeight="1" x14ac:dyDescent="0.15"/>
    <row r="1283" spans="1:1" ht="15.75" customHeight="1" x14ac:dyDescent="0.15"/>
    <row r="1284" spans="1:1" ht="15.75" customHeight="1" x14ac:dyDescent="0.15"/>
    <row r="1285" spans="1:1" ht="15.75" customHeight="1" x14ac:dyDescent="0.15"/>
    <row r="1286" spans="1:1" ht="15.75" customHeight="1" x14ac:dyDescent="0.15"/>
    <row r="1287" spans="1:1" ht="15.75" customHeight="1" x14ac:dyDescent="0.15"/>
    <row r="1288" spans="1:1" ht="15.75" customHeight="1" x14ac:dyDescent="0.15"/>
    <row r="1289" spans="1:1" ht="15.75" customHeight="1" x14ac:dyDescent="0.15"/>
    <row r="1290" spans="1:1" ht="15.75" customHeight="1" x14ac:dyDescent="0.15"/>
    <row r="1291" spans="1:1" ht="15.75" customHeight="1" x14ac:dyDescent="0.15"/>
    <row r="1292" spans="1:1" ht="15.75" customHeight="1" x14ac:dyDescent="0.15"/>
    <row r="1293" spans="1:1" ht="15.75" customHeight="1" x14ac:dyDescent="0.15"/>
    <row r="1294" spans="1:1" ht="15.75" customHeight="1" x14ac:dyDescent="0.15"/>
    <row r="1295" spans="1:1" ht="15.75" customHeight="1" x14ac:dyDescent="0.15"/>
    <row r="1296" spans="1:1" ht="15.75" customHeight="1" x14ac:dyDescent="0.15"/>
    <row r="1297" spans="1:1" ht="15.75" customHeight="1" x14ac:dyDescent="0.15"/>
    <row r="1298" spans="1:1" ht="15.75" customHeight="1" x14ac:dyDescent="0.15"/>
    <row r="1299" spans="1:1" ht="15.75" customHeight="1" x14ac:dyDescent="0.15"/>
    <row r="1300" spans="1:1" ht="15.75" customHeight="1" x14ac:dyDescent="0.15"/>
    <row r="1301" spans="1:1" ht="15.75" customHeight="1" x14ac:dyDescent="0.15"/>
    <row r="1302" spans="1:1" ht="15.75" customHeight="1" x14ac:dyDescent="0.15"/>
    <row r="1303" spans="1:1" ht="15.75" customHeight="1" x14ac:dyDescent="0.15"/>
    <row r="1304" spans="1:1" ht="15.75" customHeight="1" x14ac:dyDescent="0.15"/>
    <row r="1305" spans="1:1" ht="15.75" customHeight="1" x14ac:dyDescent="0.15"/>
    <row r="1306" spans="1:1" ht="15.75" customHeight="1" x14ac:dyDescent="0.15"/>
    <row r="1307" spans="1:1" ht="15.75" customHeight="1" x14ac:dyDescent="0.15"/>
    <row r="1308" spans="1:1" ht="15.75" customHeight="1" x14ac:dyDescent="0.15"/>
    <row r="1309" spans="1:1" ht="15.75" customHeight="1" x14ac:dyDescent="0.15"/>
    <row r="1310" spans="1:1" ht="15.75" customHeight="1" x14ac:dyDescent="0.15"/>
    <row r="1311" spans="1:1" ht="15.75" customHeight="1" x14ac:dyDescent="0.15"/>
    <row r="1312" spans="1:1" ht="15.75" customHeight="1" x14ac:dyDescent="0.15"/>
    <row r="1313" spans="1:1" ht="15.75" customHeight="1" x14ac:dyDescent="0.15"/>
    <row r="1314" spans="1:1" ht="15.75" customHeight="1" x14ac:dyDescent="0.15"/>
    <row r="1315" spans="1:1" ht="15.75" customHeight="1" x14ac:dyDescent="0.15"/>
    <row r="1316" spans="1:1" ht="15.75" customHeight="1" x14ac:dyDescent="0.15"/>
    <row r="1317" spans="1:1" ht="15.75" customHeight="1" x14ac:dyDescent="0.15"/>
    <row r="1318" spans="1:1" ht="15.75" customHeight="1" x14ac:dyDescent="0.15"/>
    <row r="1319" spans="1:1" ht="15.75" customHeight="1" x14ac:dyDescent="0.15"/>
    <row r="1320" spans="1:1" ht="15.75" customHeight="1" x14ac:dyDescent="0.15"/>
    <row r="1321" spans="1:1" ht="15.75" customHeight="1" x14ac:dyDescent="0.15"/>
    <row r="1322" spans="1:1" ht="15.75" customHeight="1" x14ac:dyDescent="0.15"/>
    <row r="1323" spans="1:1" ht="15.75" customHeight="1" x14ac:dyDescent="0.15"/>
    <row r="1324" spans="1:1" ht="15.75" customHeight="1" x14ac:dyDescent="0.15"/>
    <row r="1325" spans="1:1" ht="15.75" customHeight="1" x14ac:dyDescent="0.15"/>
    <row r="1326" spans="1:1" ht="15.75" customHeight="1" x14ac:dyDescent="0.15"/>
    <row r="1327" spans="1:1" ht="15.75" customHeight="1" x14ac:dyDescent="0.15"/>
    <row r="1328" spans="1:1" ht="15.75" customHeight="1" x14ac:dyDescent="0.15"/>
    <row r="1329" spans="1:1" ht="15.75" customHeight="1" x14ac:dyDescent="0.15"/>
    <row r="1330" spans="1:1" ht="15.75" customHeight="1" x14ac:dyDescent="0.15"/>
    <row r="1331" spans="1:1" ht="15.75" customHeight="1" x14ac:dyDescent="0.15"/>
    <row r="1332" spans="1:1" ht="15.75" customHeight="1" x14ac:dyDescent="0.15"/>
    <row r="1333" spans="1:1" ht="15.75" customHeight="1" x14ac:dyDescent="0.15"/>
    <row r="1334" spans="1:1" ht="15.75" customHeight="1" x14ac:dyDescent="0.15"/>
    <row r="1335" spans="1:1" ht="15.75" customHeight="1" x14ac:dyDescent="0.15"/>
    <row r="1336" spans="1:1" ht="15.75" customHeight="1" x14ac:dyDescent="0.15"/>
    <row r="1337" spans="1:1" ht="15.75" customHeight="1" x14ac:dyDescent="0.15"/>
    <row r="1338" spans="1:1" ht="15.75" customHeight="1" x14ac:dyDescent="0.15"/>
    <row r="1339" spans="1:1" ht="15.75" customHeight="1" x14ac:dyDescent="0.15"/>
    <row r="1340" spans="1:1" ht="15.75" customHeight="1" x14ac:dyDescent="0.15"/>
    <row r="1341" spans="1:1" ht="15.75" customHeight="1" x14ac:dyDescent="0.15"/>
    <row r="1342" spans="1:1" ht="15.75" customHeight="1" x14ac:dyDescent="0.15"/>
    <row r="1343" spans="1:1" ht="15.75" customHeight="1" x14ac:dyDescent="0.15"/>
    <row r="1344" spans="1:1" ht="15.75" customHeight="1" x14ac:dyDescent="0.15"/>
    <row r="1345" spans="1:1" ht="15.75" customHeight="1" x14ac:dyDescent="0.15"/>
    <row r="1346" spans="1:1" ht="15.75" customHeight="1" x14ac:dyDescent="0.15"/>
    <row r="1347" spans="1:1" ht="15.75" customHeight="1" x14ac:dyDescent="0.15"/>
    <row r="1348" spans="1:1" ht="15.75" customHeight="1" x14ac:dyDescent="0.15"/>
    <row r="1349" spans="1:1" ht="15.75" customHeight="1" x14ac:dyDescent="0.15"/>
    <row r="1350" spans="1:1" ht="15.75" customHeight="1" x14ac:dyDescent="0.15"/>
    <row r="1351" spans="1:1" ht="15.75" customHeight="1" x14ac:dyDescent="0.15"/>
    <row r="1352" spans="1:1" ht="15.75" customHeight="1" x14ac:dyDescent="0.15"/>
    <row r="1353" spans="1:1" ht="15.75" customHeight="1" x14ac:dyDescent="0.15"/>
    <row r="1354" spans="1:1" ht="15.75" customHeight="1" x14ac:dyDescent="0.15"/>
    <row r="1355" spans="1:1" ht="15.75" customHeight="1" x14ac:dyDescent="0.15"/>
    <row r="1356" spans="1:1" ht="15.75" customHeight="1" x14ac:dyDescent="0.15"/>
    <row r="1357" spans="1:1" ht="15.75" customHeight="1" x14ac:dyDescent="0.15"/>
    <row r="1358" spans="1:1" ht="15.75" customHeight="1" x14ac:dyDescent="0.15"/>
    <row r="1359" spans="1:1" ht="15.75" customHeight="1" x14ac:dyDescent="0.15"/>
    <row r="1360" spans="1:1" ht="15.75" customHeight="1" x14ac:dyDescent="0.15"/>
    <row r="1361" spans="1:1" ht="15.75" customHeight="1" x14ac:dyDescent="0.15"/>
    <row r="1362" spans="1:1" ht="15.75" customHeight="1" x14ac:dyDescent="0.15"/>
    <row r="1363" spans="1:1" ht="15.75" customHeight="1" x14ac:dyDescent="0.15"/>
    <row r="1364" spans="1:1" ht="15.75" customHeight="1" x14ac:dyDescent="0.15"/>
    <row r="1365" spans="1:1" ht="15.75" customHeight="1" x14ac:dyDescent="0.15"/>
    <row r="1366" spans="1:1" ht="15.75" customHeight="1" x14ac:dyDescent="0.15"/>
    <row r="1367" spans="1:1" ht="15.75" customHeight="1" x14ac:dyDescent="0.15"/>
    <row r="1368" spans="1:1" ht="15.75" customHeight="1" x14ac:dyDescent="0.15"/>
    <row r="1369" spans="1:1" ht="15.75" customHeight="1" x14ac:dyDescent="0.15"/>
    <row r="1370" spans="1:1" ht="15.75" customHeight="1" x14ac:dyDescent="0.15"/>
    <row r="1371" spans="1:1" ht="15.75" customHeight="1" x14ac:dyDescent="0.15"/>
    <row r="1372" spans="1:1" ht="15.75" customHeight="1" x14ac:dyDescent="0.15"/>
    <row r="1373" spans="1:1" ht="15.75" customHeight="1" x14ac:dyDescent="0.15"/>
    <row r="1374" spans="1:1" ht="15.75" customHeight="1" x14ac:dyDescent="0.15"/>
    <row r="1375" spans="1:1" ht="15.75" customHeight="1" x14ac:dyDescent="0.15"/>
    <row r="1376" spans="1:1" ht="15.75" customHeight="1" x14ac:dyDescent="0.15"/>
    <row r="1377" spans="1:1" ht="15.75" customHeight="1" x14ac:dyDescent="0.15"/>
    <row r="1378" spans="1:1" ht="15.75" customHeight="1" x14ac:dyDescent="0.15"/>
    <row r="1379" spans="1:1" ht="15.75" customHeight="1" x14ac:dyDescent="0.15"/>
    <row r="1380" spans="1:1" ht="15.75" customHeight="1" x14ac:dyDescent="0.15"/>
    <row r="1381" spans="1:1" ht="15.75" customHeight="1" x14ac:dyDescent="0.15"/>
    <row r="1382" spans="1:1" ht="15.75" customHeight="1" x14ac:dyDescent="0.15"/>
    <row r="1383" spans="1:1" ht="15.75" customHeight="1" x14ac:dyDescent="0.15"/>
    <row r="1384" spans="1:1" ht="15.75" customHeight="1" x14ac:dyDescent="0.15"/>
    <row r="1385" spans="1:1" ht="15.75" customHeight="1" x14ac:dyDescent="0.15"/>
    <row r="1386" spans="1:1" ht="15.75" customHeight="1" x14ac:dyDescent="0.15"/>
    <row r="1387" spans="1:1" ht="15.75" customHeight="1" x14ac:dyDescent="0.15"/>
    <row r="1388" spans="1:1" ht="15.75" customHeight="1" x14ac:dyDescent="0.15"/>
    <row r="1389" spans="1:1" ht="15.75" customHeight="1" x14ac:dyDescent="0.15"/>
    <row r="1390" spans="1:1" ht="15.75" customHeight="1" x14ac:dyDescent="0.15"/>
    <row r="1391" spans="1:1" ht="15.75" customHeight="1" x14ac:dyDescent="0.15"/>
    <row r="1392" spans="1:1" ht="15.75" customHeight="1" x14ac:dyDescent="0.15"/>
    <row r="1393" spans="1:1" ht="15.75" customHeight="1" x14ac:dyDescent="0.15"/>
    <row r="1394" spans="1:1" ht="15.75" customHeight="1" x14ac:dyDescent="0.15"/>
    <row r="1395" spans="1:1" ht="15.75" customHeight="1" x14ac:dyDescent="0.15"/>
    <row r="1396" spans="1:1" ht="15.75" customHeight="1" x14ac:dyDescent="0.15"/>
    <row r="1397" spans="1:1" ht="15.75" customHeight="1" x14ac:dyDescent="0.15"/>
    <row r="1398" spans="1:1" ht="15.75" customHeight="1" x14ac:dyDescent="0.15"/>
    <row r="1399" spans="1:1" ht="15.75" customHeight="1" x14ac:dyDescent="0.15"/>
    <row r="1400" spans="1:1" ht="15.75" customHeight="1" x14ac:dyDescent="0.15"/>
    <row r="1401" spans="1:1" ht="15.75" customHeight="1" x14ac:dyDescent="0.15"/>
    <row r="1402" spans="1:1" ht="15.75" customHeight="1" x14ac:dyDescent="0.15"/>
    <row r="1403" spans="1:1" ht="15.75" customHeight="1" x14ac:dyDescent="0.15"/>
    <row r="1404" spans="1:1" ht="15.75" customHeight="1" x14ac:dyDescent="0.15"/>
    <row r="1405" spans="1:1" ht="15.75" customHeight="1" x14ac:dyDescent="0.15"/>
    <row r="1406" spans="1:1" ht="15.75" customHeight="1" x14ac:dyDescent="0.15"/>
    <row r="1407" spans="1:1" ht="15.75" customHeight="1" x14ac:dyDescent="0.15"/>
    <row r="1408" spans="1:1" ht="15.75" customHeight="1" x14ac:dyDescent="0.15"/>
    <row r="1409" spans="1:1" ht="15.75" customHeight="1" x14ac:dyDescent="0.15"/>
    <row r="1410" spans="1:1" ht="15.75" customHeight="1" x14ac:dyDescent="0.15"/>
    <row r="1411" spans="1:1" ht="15.75" customHeight="1" x14ac:dyDescent="0.15"/>
    <row r="1412" spans="1:1" ht="15.75" customHeight="1" x14ac:dyDescent="0.15"/>
    <row r="1413" spans="1:1" ht="15.75" customHeight="1" x14ac:dyDescent="0.15"/>
    <row r="1414" spans="1:1" ht="15.75" customHeight="1" x14ac:dyDescent="0.15"/>
    <row r="1415" spans="1:1" ht="15.75" customHeight="1" x14ac:dyDescent="0.15"/>
    <row r="1416" spans="1:1" ht="15.75" customHeight="1" x14ac:dyDescent="0.15"/>
    <row r="1417" spans="1:1" ht="15.75" customHeight="1" x14ac:dyDescent="0.15"/>
    <row r="1418" spans="1:1" ht="15.75" customHeight="1" x14ac:dyDescent="0.15"/>
    <row r="1419" spans="1:1" ht="15.75" customHeight="1" x14ac:dyDescent="0.15"/>
    <row r="1420" spans="1:1" ht="15.75" customHeight="1" x14ac:dyDescent="0.15"/>
    <row r="1421" spans="1:1" ht="15.75" customHeight="1" x14ac:dyDescent="0.15"/>
    <row r="1422" spans="1:1" ht="15.75" customHeight="1" x14ac:dyDescent="0.15"/>
    <row r="1423" spans="1:1" ht="15.75" customHeight="1" x14ac:dyDescent="0.15"/>
    <row r="1424" spans="1:1" ht="15.75" customHeight="1" x14ac:dyDescent="0.15"/>
    <row r="1425" spans="1:1" ht="15.75" customHeight="1" x14ac:dyDescent="0.15"/>
    <row r="1426" spans="1:1" ht="15.75" customHeight="1" x14ac:dyDescent="0.15"/>
    <row r="1427" spans="1:1" ht="15.75" customHeight="1" x14ac:dyDescent="0.15"/>
    <row r="1428" spans="1:1" ht="15.75" customHeight="1" x14ac:dyDescent="0.15"/>
    <row r="1429" spans="1:1" ht="15.75" customHeight="1" x14ac:dyDescent="0.15"/>
    <row r="1430" spans="1:1" ht="15.75" customHeight="1" x14ac:dyDescent="0.15"/>
    <row r="1431" spans="1:1" ht="15.75" customHeight="1" x14ac:dyDescent="0.15"/>
    <row r="1432" spans="1:1" ht="15.75" customHeight="1" x14ac:dyDescent="0.15"/>
    <row r="1433" spans="1:1" ht="15.75" customHeight="1" x14ac:dyDescent="0.15"/>
    <row r="1434" spans="1:1" ht="15.75" customHeight="1" x14ac:dyDescent="0.15"/>
    <row r="1435" spans="1:1" ht="15.75" customHeight="1" x14ac:dyDescent="0.15"/>
    <row r="1436" spans="1:1" ht="15.75" customHeight="1" x14ac:dyDescent="0.15"/>
    <row r="1437" spans="1:1" ht="15.75" customHeight="1" x14ac:dyDescent="0.15"/>
    <row r="1438" spans="1:1" ht="15.75" customHeight="1" x14ac:dyDescent="0.15"/>
    <row r="1439" spans="1:1" ht="15.75" customHeight="1" x14ac:dyDescent="0.15"/>
    <row r="1440" spans="1:1" ht="15.75" customHeight="1" x14ac:dyDescent="0.15"/>
    <row r="1441" spans="1:1" ht="15.75" customHeight="1" x14ac:dyDescent="0.15"/>
    <row r="1442" spans="1:1" ht="15.75" customHeight="1" x14ac:dyDescent="0.15"/>
    <row r="1443" spans="1:1" ht="15.75" customHeight="1" x14ac:dyDescent="0.15"/>
    <row r="1444" spans="1:1" ht="15.75" customHeight="1" x14ac:dyDescent="0.15"/>
    <row r="1445" spans="1:1" ht="15.75" customHeight="1" x14ac:dyDescent="0.15"/>
    <row r="1446" spans="1:1" ht="15.75" customHeight="1" x14ac:dyDescent="0.15"/>
    <row r="1447" spans="1:1" ht="15.75" customHeight="1" x14ac:dyDescent="0.15"/>
    <row r="1448" spans="1:1" ht="15.75" customHeight="1" x14ac:dyDescent="0.15"/>
    <row r="1449" spans="1:1" ht="15.75" customHeight="1" x14ac:dyDescent="0.15"/>
    <row r="1450" spans="1:1" ht="15.75" customHeight="1" x14ac:dyDescent="0.15"/>
    <row r="1451" spans="1:1" ht="15.75" customHeight="1" x14ac:dyDescent="0.15"/>
    <row r="1452" spans="1:1" ht="15.75" customHeight="1" x14ac:dyDescent="0.15"/>
    <row r="1453" spans="1:1" ht="15.75" customHeight="1" x14ac:dyDescent="0.15"/>
    <row r="1454" spans="1:1" ht="15.75" customHeight="1" x14ac:dyDescent="0.15"/>
    <row r="1455" spans="1:1" ht="15.75" customHeight="1" x14ac:dyDescent="0.15"/>
    <row r="1456" spans="1:1" ht="15.75" customHeight="1" x14ac:dyDescent="0.15"/>
    <row r="1457" spans="1:1" ht="15.75" customHeight="1" x14ac:dyDescent="0.15"/>
    <row r="1458" spans="1:1" ht="15.75" customHeight="1" x14ac:dyDescent="0.15"/>
    <row r="1459" spans="1:1" ht="15.75" customHeight="1" x14ac:dyDescent="0.15"/>
    <row r="1460" spans="1:1" ht="15.75" customHeight="1" x14ac:dyDescent="0.15"/>
    <row r="1461" spans="1:1" ht="15.75" customHeight="1" x14ac:dyDescent="0.15"/>
    <row r="1462" spans="1:1" ht="15.75" customHeight="1" x14ac:dyDescent="0.15"/>
    <row r="1463" spans="1:1" ht="15.75" customHeight="1" x14ac:dyDescent="0.15"/>
    <row r="1464" spans="1:1" ht="15.75" customHeight="1" x14ac:dyDescent="0.15"/>
    <row r="1465" spans="1:1" ht="15.75" customHeight="1" x14ac:dyDescent="0.15"/>
    <row r="1466" spans="1:1" ht="15.75" customHeight="1" x14ac:dyDescent="0.15"/>
    <row r="1467" spans="1:1" ht="15.75" customHeight="1" x14ac:dyDescent="0.15"/>
    <row r="1468" spans="1:1" ht="15.75" customHeight="1" x14ac:dyDescent="0.15"/>
    <row r="1469" spans="1:1" ht="15.75" customHeight="1" x14ac:dyDescent="0.15"/>
    <row r="1470" spans="1:1" ht="15.75" customHeight="1" x14ac:dyDescent="0.15"/>
    <row r="1471" spans="1:1" ht="15.75" customHeight="1" x14ac:dyDescent="0.15"/>
    <row r="1472" spans="1:1" ht="15.75" customHeight="1" x14ac:dyDescent="0.15"/>
    <row r="1473" spans="1:1" ht="15.75" customHeight="1" x14ac:dyDescent="0.15"/>
    <row r="1474" spans="1:1" ht="15.75" customHeight="1" x14ac:dyDescent="0.15"/>
    <row r="1475" spans="1:1" ht="15.75" customHeight="1" x14ac:dyDescent="0.15"/>
    <row r="1476" spans="1:1" ht="15.75" customHeight="1" x14ac:dyDescent="0.15"/>
    <row r="1477" spans="1:1" ht="15.75" customHeight="1" x14ac:dyDescent="0.15"/>
    <row r="1478" spans="1:1" ht="15.75" customHeight="1" x14ac:dyDescent="0.15"/>
    <row r="1479" spans="1:1" ht="15.75" customHeight="1" x14ac:dyDescent="0.15"/>
    <row r="1480" spans="1:1" ht="15.75" customHeight="1" x14ac:dyDescent="0.15"/>
    <row r="1481" spans="1:1" ht="15.75" customHeight="1" x14ac:dyDescent="0.15"/>
    <row r="1482" spans="1:1" ht="15.75" customHeight="1" x14ac:dyDescent="0.15"/>
    <row r="1483" spans="1:1" ht="15.75" customHeight="1" x14ac:dyDescent="0.15"/>
    <row r="1484" spans="1:1" ht="15.75" customHeight="1" x14ac:dyDescent="0.15"/>
    <row r="1485" spans="1:1" ht="15.75" customHeight="1" x14ac:dyDescent="0.15"/>
    <row r="1486" spans="1:1" ht="15.75" customHeight="1" x14ac:dyDescent="0.15"/>
    <row r="1487" spans="1:1" ht="15.75" customHeight="1" x14ac:dyDescent="0.15"/>
    <row r="1488" spans="1:1" ht="15.75" customHeight="1" x14ac:dyDescent="0.15"/>
    <row r="1489" spans="1:1" ht="15.75" customHeight="1" x14ac:dyDescent="0.15"/>
    <row r="1490" spans="1:1" ht="15.75" customHeight="1" x14ac:dyDescent="0.15"/>
    <row r="1491" spans="1:1" ht="15.75" customHeight="1" x14ac:dyDescent="0.15"/>
    <row r="1492" spans="1:1" ht="15.75" customHeight="1" x14ac:dyDescent="0.15"/>
    <row r="1493" spans="1:1" ht="15.75" customHeight="1" x14ac:dyDescent="0.15"/>
    <row r="1494" spans="1:1" ht="15.75" customHeight="1" x14ac:dyDescent="0.15"/>
    <row r="1495" spans="1:1" ht="15.75" customHeight="1" x14ac:dyDescent="0.15"/>
    <row r="1496" spans="1:1" ht="15.75" customHeight="1" x14ac:dyDescent="0.15"/>
    <row r="1497" spans="1:1" ht="15.75" customHeight="1" x14ac:dyDescent="0.15"/>
    <row r="1498" spans="1:1" ht="15.75" customHeight="1" x14ac:dyDescent="0.15"/>
    <row r="1499" spans="1:1" ht="15.75" customHeight="1" x14ac:dyDescent="0.15"/>
    <row r="1500" spans="1:1" ht="15.75" customHeight="1" x14ac:dyDescent="0.15"/>
    <row r="1501" spans="1:1" ht="15.75" customHeight="1" x14ac:dyDescent="0.15"/>
    <row r="1502" spans="1:1" ht="15.75" customHeight="1" x14ac:dyDescent="0.15"/>
    <row r="1503" spans="1:1" ht="15.75" customHeight="1" x14ac:dyDescent="0.15"/>
    <row r="1504" spans="1:1" ht="15.75" customHeight="1" x14ac:dyDescent="0.15"/>
    <row r="1505" spans="1:1" ht="15.75" customHeight="1" x14ac:dyDescent="0.15"/>
    <row r="1506" spans="1:1" ht="15.75" customHeight="1" x14ac:dyDescent="0.15"/>
    <row r="1507" spans="1:1" ht="15.75" customHeight="1" x14ac:dyDescent="0.15"/>
    <row r="1508" spans="1:1" ht="15.75" customHeight="1" x14ac:dyDescent="0.15"/>
    <row r="1509" spans="1:1" ht="15.75" customHeight="1" x14ac:dyDescent="0.15"/>
    <row r="1510" spans="1:1" ht="15.75" customHeight="1" x14ac:dyDescent="0.15"/>
    <row r="1511" spans="1:1" ht="15.75" customHeight="1" x14ac:dyDescent="0.15"/>
    <row r="1512" spans="1:1" ht="15.75" customHeight="1" x14ac:dyDescent="0.15"/>
    <row r="1513" spans="1:1" ht="15.75" customHeight="1" x14ac:dyDescent="0.15"/>
    <row r="1514" spans="1:1" ht="15.75" customHeight="1" x14ac:dyDescent="0.15"/>
    <row r="1515" spans="1:1" ht="15.75" customHeight="1" x14ac:dyDescent="0.15"/>
    <row r="1516" spans="1:1" ht="15.75" customHeight="1" x14ac:dyDescent="0.15"/>
    <row r="1517" spans="1:1" ht="15.75" customHeight="1" x14ac:dyDescent="0.15"/>
    <row r="1518" spans="1:1" ht="15.75" customHeight="1" x14ac:dyDescent="0.15"/>
    <row r="1519" spans="1:1" ht="15.75" customHeight="1" x14ac:dyDescent="0.15"/>
    <row r="1520" spans="1:1" ht="15.75" customHeight="1" x14ac:dyDescent="0.15"/>
    <row r="1521" spans="1:1" ht="15.75" customHeight="1" x14ac:dyDescent="0.15"/>
    <row r="1522" spans="1:1" ht="15.75" customHeight="1" x14ac:dyDescent="0.15"/>
    <row r="1523" spans="1:1" ht="15.75" customHeight="1" x14ac:dyDescent="0.15"/>
    <row r="1524" spans="1:1" ht="15.75" customHeight="1" x14ac:dyDescent="0.15"/>
    <row r="1525" spans="1:1" ht="15.75" customHeight="1" x14ac:dyDescent="0.15"/>
    <row r="1526" spans="1:1" ht="15.75" customHeight="1" x14ac:dyDescent="0.15"/>
    <row r="1527" spans="1:1" ht="15.75" customHeight="1" x14ac:dyDescent="0.15"/>
    <row r="1528" spans="1:1" ht="15.75" customHeight="1" x14ac:dyDescent="0.15"/>
    <row r="1529" spans="1:1" ht="15.75" customHeight="1" x14ac:dyDescent="0.15"/>
    <row r="1530" spans="1:1" ht="15.75" customHeight="1" x14ac:dyDescent="0.15"/>
    <row r="1531" spans="1:1" ht="15.75" customHeight="1" x14ac:dyDescent="0.15"/>
    <row r="1532" spans="1:1" ht="15.75" customHeight="1" x14ac:dyDescent="0.15"/>
    <row r="1533" spans="1:1" ht="15.75" customHeight="1" x14ac:dyDescent="0.15"/>
    <row r="1534" spans="1:1" ht="15.75" customHeight="1" x14ac:dyDescent="0.15"/>
    <row r="1535" spans="1:1" ht="15.75" customHeight="1" x14ac:dyDescent="0.15"/>
    <row r="1536" spans="1:1" ht="15.75" customHeight="1" x14ac:dyDescent="0.15"/>
    <row r="1537" spans="1:1" ht="15.75" customHeight="1" x14ac:dyDescent="0.15"/>
    <row r="1538" spans="1:1" ht="15.75" customHeight="1" x14ac:dyDescent="0.15"/>
    <row r="1539" spans="1:1" ht="15.75" customHeight="1" x14ac:dyDescent="0.15"/>
    <row r="1540" spans="1:1" ht="15.75" customHeight="1" x14ac:dyDescent="0.15"/>
    <row r="1541" spans="1:1" ht="15.75" customHeight="1" x14ac:dyDescent="0.15"/>
    <row r="1542" spans="1:1" ht="15.75" customHeight="1" x14ac:dyDescent="0.15"/>
    <row r="1543" spans="1:1" ht="15.75" customHeight="1" x14ac:dyDescent="0.15"/>
    <row r="1544" spans="1:1" ht="15.75" customHeight="1" x14ac:dyDescent="0.15"/>
    <row r="1545" spans="1:1" ht="15.75" customHeight="1" x14ac:dyDescent="0.15"/>
    <row r="1546" spans="1:1" ht="15.75" customHeight="1" x14ac:dyDescent="0.15"/>
    <row r="1547" spans="1:1" ht="15.75" customHeight="1" x14ac:dyDescent="0.15"/>
    <row r="1548" spans="1:1" ht="15.75" customHeight="1" x14ac:dyDescent="0.15"/>
    <row r="1549" spans="1:1" ht="15.75" customHeight="1" x14ac:dyDescent="0.15"/>
    <row r="1550" spans="1:1" ht="15.75" customHeight="1" x14ac:dyDescent="0.15"/>
    <row r="1551" spans="1:1" ht="15.75" customHeight="1" x14ac:dyDescent="0.15"/>
    <row r="1552" spans="1:1" ht="15.75" customHeight="1" x14ac:dyDescent="0.15"/>
    <row r="1553" spans="1:1" ht="15.75" customHeight="1" x14ac:dyDescent="0.15"/>
    <row r="1554" spans="1:1" ht="15.75" customHeight="1" x14ac:dyDescent="0.15"/>
    <row r="1555" spans="1:1" ht="15.75" customHeight="1" x14ac:dyDescent="0.15"/>
    <row r="1556" spans="1:1" ht="15.75" customHeight="1" x14ac:dyDescent="0.15"/>
    <row r="1557" spans="1:1" ht="15.75" customHeight="1" x14ac:dyDescent="0.15"/>
    <row r="1558" spans="1:1" ht="15.75" customHeight="1" x14ac:dyDescent="0.15"/>
    <row r="1559" spans="1:1" ht="15.75" customHeight="1" x14ac:dyDescent="0.15"/>
    <row r="1560" spans="1:1" ht="15.75" customHeight="1" x14ac:dyDescent="0.15"/>
    <row r="1561" spans="1:1" ht="15.75" customHeight="1" x14ac:dyDescent="0.15"/>
    <row r="1562" spans="1:1" ht="15.75" customHeight="1" x14ac:dyDescent="0.15"/>
    <row r="1563" spans="1:1" ht="15.75" customHeight="1" x14ac:dyDescent="0.15"/>
    <row r="1564" spans="1:1" ht="15.75" customHeight="1" x14ac:dyDescent="0.15"/>
    <row r="1565" spans="1:1" ht="15.75" customHeight="1" x14ac:dyDescent="0.15"/>
    <row r="1566" spans="1:1" ht="15.75" customHeight="1" x14ac:dyDescent="0.15"/>
    <row r="1567" spans="1:1" ht="15.75" customHeight="1" x14ac:dyDescent="0.15"/>
    <row r="1568" spans="1:1" ht="15.75" customHeight="1" x14ac:dyDescent="0.15"/>
    <row r="1569" spans="1:1" ht="15.75" customHeight="1" x14ac:dyDescent="0.15"/>
    <row r="1570" spans="1:1" ht="15.75" customHeight="1" x14ac:dyDescent="0.15"/>
    <row r="1571" spans="1:1" ht="15.75" customHeight="1" x14ac:dyDescent="0.15"/>
    <row r="1572" spans="1:1" ht="15.75" customHeight="1" x14ac:dyDescent="0.15"/>
    <row r="1573" spans="1:1" ht="15.75" customHeight="1" x14ac:dyDescent="0.15"/>
    <row r="1574" spans="1:1" ht="15.75" customHeight="1" x14ac:dyDescent="0.15"/>
    <row r="1575" spans="1:1" ht="15.75" customHeight="1" x14ac:dyDescent="0.15"/>
    <row r="1576" spans="1:1" ht="15.75" customHeight="1" x14ac:dyDescent="0.15"/>
    <row r="1577" spans="1:1" ht="15.75" customHeight="1" x14ac:dyDescent="0.15"/>
    <row r="1578" spans="1:1" ht="15.75" customHeight="1" x14ac:dyDescent="0.15"/>
    <row r="1579" spans="1:1" ht="15.75" customHeight="1" x14ac:dyDescent="0.15"/>
    <row r="1580" spans="1:1" ht="15.75" customHeight="1" x14ac:dyDescent="0.15"/>
    <row r="1581" spans="1:1" ht="15.75" customHeight="1" x14ac:dyDescent="0.15"/>
    <row r="1582" spans="1:1" ht="15.75" customHeight="1" x14ac:dyDescent="0.15"/>
    <row r="1583" spans="1:1" ht="15.75" customHeight="1" x14ac:dyDescent="0.15"/>
    <row r="1584" spans="1:1" ht="15.75" customHeight="1" x14ac:dyDescent="0.15"/>
    <row r="1585" spans="1:1" ht="15.75" customHeight="1" x14ac:dyDescent="0.15"/>
    <row r="1586" spans="1:1" ht="15.75" customHeight="1" x14ac:dyDescent="0.15"/>
    <row r="1587" spans="1:1" ht="15.75" customHeight="1" x14ac:dyDescent="0.15"/>
    <row r="1588" spans="1:1" ht="15.75" customHeight="1" x14ac:dyDescent="0.15"/>
    <row r="1589" spans="1:1" ht="15.75" customHeight="1" x14ac:dyDescent="0.15"/>
    <row r="1590" spans="1:1" ht="15.75" customHeight="1" x14ac:dyDescent="0.15"/>
    <row r="1591" spans="1:1" ht="15.75" customHeight="1" x14ac:dyDescent="0.15"/>
    <row r="1592" spans="1:1" ht="15.75" customHeight="1" x14ac:dyDescent="0.15"/>
    <row r="1593" spans="1:1" ht="15.75" customHeight="1" x14ac:dyDescent="0.15"/>
    <row r="1594" spans="1:1" ht="15.75" customHeight="1" x14ac:dyDescent="0.15"/>
    <row r="1595" spans="1:1" ht="15.75" customHeight="1" x14ac:dyDescent="0.15"/>
    <row r="1596" spans="1:1" ht="15.75" customHeight="1" x14ac:dyDescent="0.15"/>
    <row r="1597" spans="1:1" ht="15.75" customHeight="1" x14ac:dyDescent="0.15"/>
    <row r="1598" spans="1:1" ht="15.75" customHeight="1" x14ac:dyDescent="0.15"/>
    <row r="1599" spans="1:1" ht="15.75" customHeight="1" x14ac:dyDescent="0.15"/>
    <row r="1600" spans="1:1" ht="15.75" customHeight="1" x14ac:dyDescent="0.15"/>
    <row r="1601" spans="1:1" ht="15.75" customHeight="1" x14ac:dyDescent="0.15"/>
    <row r="1602" spans="1:1" ht="15.75" customHeight="1" x14ac:dyDescent="0.15"/>
    <row r="1603" spans="1:1" ht="15.75" customHeight="1" x14ac:dyDescent="0.15"/>
    <row r="1604" spans="1:1" ht="15.75" customHeight="1" x14ac:dyDescent="0.15"/>
    <row r="1605" spans="1:1" ht="15.75" customHeight="1" x14ac:dyDescent="0.15"/>
    <row r="1606" spans="1:1" ht="15.75" customHeight="1" x14ac:dyDescent="0.15"/>
    <row r="1607" spans="1:1" ht="15.75" customHeight="1" x14ac:dyDescent="0.15"/>
    <row r="1608" spans="1:1" ht="15.75" customHeight="1" x14ac:dyDescent="0.15"/>
    <row r="1609" spans="1:1" ht="15.75" customHeight="1" x14ac:dyDescent="0.15"/>
    <row r="1610" spans="1:1" ht="15.75" customHeight="1" x14ac:dyDescent="0.15"/>
    <row r="1611" spans="1:1" ht="15.75" customHeight="1" x14ac:dyDescent="0.15"/>
    <row r="1612" spans="1:1" ht="15.75" customHeight="1" x14ac:dyDescent="0.15"/>
    <row r="1613" spans="1:1" ht="15.75" customHeight="1" x14ac:dyDescent="0.15"/>
    <row r="1614" spans="1:1" ht="15.75" customHeight="1" x14ac:dyDescent="0.15"/>
    <row r="1615" spans="1:1" ht="15.75" customHeight="1" x14ac:dyDescent="0.15"/>
    <row r="1616" spans="1:1" ht="15.75" customHeight="1" x14ac:dyDescent="0.15"/>
    <row r="1617" spans="1:1" ht="15.75" customHeight="1" x14ac:dyDescent="0.15"/>
    <row r="1618" spans="1:1" ht="15.75" customHeight="1" x14ac:dyDescent="0.15"/>
    <row r="1619" spans="1:1" ht="15.75" customHeight="1" x14ac:dyDescent="0.15"/>
    <row r="1620" spans="1:1" ht="15.75" customHeight="1" x14ac:dyDescent="0.15"/>
    <row r="1621" spans="1:1" ht="15.75" customHeight="1" x14ac:dyDescent="0.15"/>
    <row r="1622" spans="1:1" ht="15.75" customHeight="1" x14ac:dyDescent="0.15"/>
    <row r="1623" spans="1:1" ht="15.75" customHeight="1" x14ac:dyDescent="0.15"/>
    <row r="1624" spans="1:1" ht="15.75" customHeight="1" x14ac:dyDescent="0.15"/>
    <row r="1625" spans="1:1" ht="15.75" customHeight="1" x14ac:dyDescent="0.15"/>
    <row r="1626" spans="1:1" ht="15.75" customHeight="1" x14ac:dyDescent="0.15"/>
    <row r="1627" spans="1:1" ht="15.75" customHeight="1" x14ac:dyDescent="0.15"/>
    <row r="1628" spans="1:1" ht="15.75" customHeight="1" x14ac:dyDescent="0.15"/>
    <row r="1629" spans="1:1" ht="15.75" customHeight="1" x14ac:dyDescent="0.15"/>
    <row r="1630" spans="1:1" ht="15.75" customHeight="1" x14ac:dyDescent="0.15"/>
    <row r="1631" spans="1:1" ht="15.75" customHeight="1" x14ac:dyDescent="0.15"/>
    <row r="1632" spans="1:1" ht="15.75" customHeight="1" x14ac:dyDescent="0.15"/>
    <row r="1633" spans="1:1" ht="15.75" customHeight="1" x14ac:dyDescent="0.15"/>
    <row r="1634" spans="1:1" ht="15.75" customHeight="1" x14ac:dyDescent="0.15"/>
    <row r="1635" spans="1:1" ht="15.75" customHeight="1" x14ac:dyDescent="0.15"/>
    <row r="1636" spans="1:1" ht="15.75" customHeight="1" x14ac:dyDescent="0.15"/>
    <row r="1637" spans="1:1" ht="15.75" customHeight="1" x14ac:dyDescent="0.15"/>
    <row r="1638" spans="1:1" ht="15.75" customHeight="1" x14ac:dyDescent="0.15"/>
    <row r="1639" spans="1:1" ht="15.75" customHeight="1" x14ac:dyDescent="0.15"/>
    <row r="1640" spans="1:1" ht="15.75" customHeight="1" x14ac:dyDescent="0.15"/>
    <row r="1641" spans="1:1" ht="15.75" customHeight="1" x14ac:dyDescent="0.15"/>
    <row r="1642" spans="1:1" ht="15.75" customHeight="1" x14ac:dyDescent="0.15"/>
    <row r="1643" spans="1:1" ht="15.75" customHeight="1" x14ac:dyDescent="0.15"/>
    <row r="1644" spans="1:1" ht="15.75" customHeight="1" x14ac:dyDescent="0.15"/>
    <row r="1645" spans="1:1" ht="15.75" customHeight="1" x14ac:dyDescent="0.15"/>
    <row r="1646" spans="1:1" ht="15.75" customHeight="1" x14ac:dyDescent="0.15"/>
    <row r="1647" spans="1:1" ht="15.75" customHeight="1" x14ac:dyDescent="0.15"/>
    <row r="1648" spans="1:1" ht="15.75" customHeight="1" x14ac:dyDescent="0.15"/>
    <row r="1649" spans="1:1" ht="15.75" customHeight="1" x14ac:dyDescent="0.15"/>
    <row r="1650" spans="1:1" ht="15.75" customHeight="1" x14ac:dyDescent="0.15"/>
    <row r="1651" spans="1:1" ht="15.75" customHeight="1" x14ac:dyDescent="0.15"/>
    <row r="1652" spans="1:1" ht="15.75" customHeight="1" x14ac:dyDescent="0.15"/>
    <row r="1653" spans="1:1" ht="15.75" customHeight="1" x14ac:dyDescent="0.15"/>
    <row r="1654" spans="1:1" ht="15.75" customHeight="1" x14ac:dyDescent="0.15"/>
    <row r="1655" spans="1:1" ht="15.75" customHeight="1" x14ac:dyDescent="0.15"/>
    <row r="1656" spans="1:1" ht="15.75" customHeight="1" x14ac:dyDescent="0.15"/>
    <row r="1657" spans="1:1" ht="15.75" customHeight="1" x14ac:dyDescent="0.15"/>
    <row r="1658" spans="1:1" ht="15.75" customHeight="1" x14ac:dyDescent="0.15"/>
    <row r="1659" spans="1:1" ht="15.75" customHeight="1" x14ac:dyDescent="0.15"/>
    <row r="1660" spans="1:1" ht="15.75" customHeight="1" x14ac:dyDescent="0.15"/>
    <row r="1661" spans="1:1" ht="15.75" customHeight="1" x14ac:dyDescent="0.15"/>
    <row r="1662" spans="1:1" ht="15.75" customHeight="1" x14ac:dyDescent="0.15"/>
    <row r="1663" spans="1:1" ht="15.75" customHeight="1" x14ac:dyDescent="0.15"/>
    <row r="1664" spans="1:1" ht="15.75" customHeight="1" x14ac:dyDescent="0.15"/>
    <row r="1665" spans="1:1" ht="15.75" customHeight="1" x14ac:dyDescent="0.15"/>
    <row r="1666" spans="1:1" ht="15.75" customHeight="1" x14ac:dyDescent="0.15"/>
    <row r="1667" spans="1:1" ht="15.75" customHeight="1" x14ac:dyDescent="0.15"/>
    <row r="1668" spans="1:1" ht="15.75" customHeight="1" x14ac:dyDescent="0.15"/>
    <row r="1669" spans="1:1" ht="15.75" customHeight="1" x14ac:dyDescent="0.15"/>
    <row r="1670" spans="1:1" ht="15.75" customHeight="1" x14ac:dyDescent="0.15"/>
    <row r="1671" spans="1:1" ht="15.75" customHeight="1" x14ac:dyDescent="0.15"/>
    <row r="1672" spans="1:1" ht="15.75" customHeight="1" x14ac:dyDescent="0.15"/>
    <row r="1673" spans="1:1" ht="15.75" customHeight="1" x14ac:dyDescent="0.15"/>
    <row r="1674" spans="1:1" ht="15.75" customHeight="1" x14ac:dyDescent="0.15"/>
    <row r="1675" spans="1:1" ht="15.75" customHeight="1" x14ac:dyDescent="0.15"/>
    <row r="1676" spans="1:1" ht="15.75" customHeight="1" x14ac:dyDescent="0.15"/>
    <row r="1677" spans="1:1" ht="15.75" customHeight="1" x14ac:dyDescent="0.15"/>
    <row r="1678" spans="1:1" ht="15.75" customHeight="1" x14ac:dyDescent="0.15"/>
    <row r="1679" spans="1:1" ht="15.75" customHeight="1" x14ac:dyDescent="0.15"/>
    <row r="1680" spans="1:1" ht="15.75" customHeight="1" x14ac:dyDescent="0.15"/>
    <row r="1681" spans="1:1" ht="15.75" customHeight="1" x14ac:dyDescent="0.15"/>
    <row r="1682" spans="1:1" ht="15.75" customHeight="1" x14ac:dyDescent="0.15"/>
    <row r="1683" spans="1:1" ht="15.75" customHeight="1" x14ac:dyDescent="0.15"/>
    <row r="1684" spans="1:1" ht="15.75" customHeight="1" x14ac:dyDescent="0.15"/>
    <row r="1685" spans="1:1" ht="15.75" customHeight="1" x14ac:dyDescent="0.15"/>
    <row r="1686" spans="1:1" ht="15.75" customHeight="1" x14ac:dyDescent="0.15"/>
    <row r="1687" spans="1:1" ht="15.75" customHeight="1" x14ac:dyDescent="0.15"/>
    <row r="1688" spans="1:1" ht="15.75" customHeight="1" x14ac:dyDescent="0.15"/>
    <row r="1689" spans="1:1" ht="15.75" customHeight="1" x14ac:dyDescent="0.15"/>
    <row r="1690" spans="1:1" ht="15.75" customHeight="1" x14ac:dyDescent="0.15"/>
    <row r="1691" spans="1:1" ht="15.75" customHeight="1" x14ac:dyDescent="0.15"/>
    <row r="1692" spans="1:1" ht="15.75" customHeight="1" x14ac:dyDescent="0.15"/>
    <row r="1693" spans="1:1" ht="15.75" customHeight="1" x14ac:dyDescent="0.15"/>
    <row r="1694" spans="1:1" ht="15.75" customHeight="1" x14ac:dyDescent="0.15"/>
    <row r="1695" spans="1:1" ht="15.75" customHeight="1" x14ac:dyDescent="0.15"/>
    <row r="1696" spans="1:1" ht="15.75" customHeight="1" x14ac:dyDescent="0.15"/>
    <row r="1697" spans="1:1" ht="15.75" customHeight="1" x14ac:dyDescent="0.15"/>
    <row r="1698" spans="1:1" ht="15.75" customHeight="1" x14ac:dyDescent="0.15"/>
    <row r="1699" spans="1:1" ht="15.75" customHeight="1" x14ac:dyDescent="0.15"/>
    <row r="1700" spans="1:1" ht="15.75" customHeight="1" x14ac:dyDescent="0.15"/>
    <row r="1701" spans="1:1" ht="15.75" customHeight="1" x14ac:dyDescent="0.15"/>
    <row r="1702" spans="1:1" ht="15.75" customHeight="1" x14ac:dyDescent="0.15"/>
    <row r="1703" spans="1:1" ht="15.75" customHeight="1" x14ac:dyDescent="0.15"/>
    <row r="1704" spans="1:1" ht="15.75" customHeight="1" x14ac:dyDescent="0.15"/>
    <row r="1705" spans="1:1" ht="15.75" customHeight="1" x14ac:dyDescent="0.15"/>
    <row r="1706" spans="1:1" ht="15.75" customHeight="1" x14ac:dyDescent="0.15"/>
    <row r="1707" spans="1:1" ht="15.75" customHeight="1" x14ac:dyDescent="0.15"/>
    <row r="1708" spans="1:1" ht="15.75" customHeight="1" x14ac:dyDescent="0.15"/>
    <row r="1709" spans="1:1" ht="15.75" customHeight="1" x14ac:dyDescent="0.15"/>
    <row r="1710" spans="1:1" ht="15.75" customHeight="1" x14ac:dyDescent="0.15"/>
    <row r="1711" spans="1:1" ht="15.75" customHeight="1" x14ac:dyDescent="0.15"/>
    <row r="1712" spans="1:1" ht="15.75" customHeight="1" x14ac:dyDescent="0.15"/>
    <row r="1713" spans="1:1" ht="15.75" customHeight="1" x14ac:dyDescent="0.15"/>
    <row r="1714" spans="1:1" ht="15.75" customHeight="1" x14ac:dyDescent="0.15"/>
    <row r="1715" spans="1:1" ht="15.75" customHeight="1" x14ac:dyDescent="0.15"/>
    <row r="1716" spans="1:1" ht="15.75" customHeight="1" x14ac:dyDescent="0.15"/>
    <row r="1717" spans="1:1" ht="15.75" customHeight="1" x14ac:dyDescent="0.15"/>
    <row r="1718" spans="1:1" ht="15.75" customHeight="1" x14ac:dyDescent="0.15"/>
    <row r="1719" spans="1:1" ht="15.75" customHeight="1" x14ac:dyDescent="0.15"/>
    <row r="1720" spans="1:1" ht="15.75" customHeight="1" x14ac:dyDescent="0.15"/>
    <row r="1721" spans="1:1" ht="15.75" customHeight="1" x14ac:dyDescent="0.15"/>
    <row r="1722" spans="1:1" ht="15.75" customHeight="1" x14ac:dyDescent="0.15"/>
    <row r="1723" spans="1:1" ht="15.75" customHeight="1" x14ac:dyDescent="0.15"/>
    <row r="1724" spans="1:1" ht="15.75" customHeight="1" x14ac:dyDescent="0.15"/>
    <row r="1725" spans="1:1" ht="15.75" customHeight="1" x14ac:dyDescent="0.15"/>
    <row r="1726" spans="1:1" ht="15.75" customHeight="1" x14ac:dyDescent="0.15"/>
    <row r="1727" spans="1:1" ht="15.75" customHeight="1" x14ac:dyDescent="0.15"/>
    <row r="1728" spans="1:1" ht="15.75" customHeight="1" x14ac:dyDescent="0.15"/>
    <row r="1729" spans="1:1" ht="15.75" customHeight="1" x14ac:dyDescent="0.15"/>
    <row r="1730" spans="1:1" ht="15.75" customHeight="1" x14ac:dyDescent="0.15"/>
    <row r="1731" spans="1:1" ht="15.75" customHeight="1" x14ac:dyDescent="0.15"/>
    <row r="1732" spans="1:1" ht="15.75" customHeight="1" x14ac:dyDescent="0.15"/>
    <row r="1733" spans="1:1" ht="15.75" customHeight="1" x14ac:dyDescent="0.15"/>
    <row r="1734" spans="1:1" ht="15.75" customHeight="1" x14ac:dyDescent="0.15"/>
    <row r="1735" spans="1:1" ht="15.75" customHeight="1" x14ac:dyDescent="0.15"/>
    <row r="1736" spans="1:1" ht="15.75" customHeight="1" x14ac:dyDescent="0.15"/>
    <row r="1737" spans="1:1" ht="15.75" customHeight="1" x14ac:dyDescent="0.15"/>
    <row r="1738" spans="1:1" ht="15.75" customHeight="1" x14ac:dyDescent="0.15"/>
    <row r="1739" spans="1:1" ht="15.75" customHeight="1" x14ac:dyDescent="0.15"/>
    <row r="1740" spans="1:1" ht="15.75" customHeight="1" x14ac:dyDescent="0.15"/>
    <row r="1741" spans="1:1" ht="15.75" customHeight="1" x14ac:dyDescent="0.15"/>
    <row r="1742" spans="1:1" ht="15.75" customHeight="1" x14ac:dyDescent="0.15"/>
    <row r="1743" spans="1:1" ht="15.75" customHeight="1" x14ac:dyDescent="0.15"/>
    <row r="1744" spans="1:1" ht="15.75" customHeight="1" x14ac:dyDescent="0.15"/>
    <row r="1745" spans="1:1" ht="15.75" customHeight="1" x14ac:dyDescent="0.15"/>
    <row r="1746" spans="1:1" ht="15.75" customHeight="1" x14ac:dyDescent="0.15"/>
    <row r="1747" spans="1:1" ht="15.75" customHeight="1" x14ac:dyDescent="0.15"/>
    <row r="1748" spans="1:1" ht="15.75" customHeight="1" x14ac:dyDescent="0.15"/>
    <row r="1749" spans="1:1" ht="15.75" customHeight="1" x14ac:dyDescent="0.15"/>
    <row r="1750" spans="1:1" ht="15.75" customHeight="1" x14ac:dyDescent="0.15"/>
    <row r="1751" spans="1:1" ht="15.75" customHeight="1" x14ac:dyDescent="0.15"/>
    <row r="1752" spans="1:1" ht="15.75" customHeight="1" x14ac:dyDescent="0.15"/>
    <row r="1753" spans="1:1" ht="15.75" customHeight="1" x14ac:dyDescent="0.15"/>
    <row r="1754" spans="1:1" ht="15.75" customHeight="1" x14ac:dyDescent="0.15"/>
    <row r="1755" spans="1:1" ht="15.75" customHeight="1" x14ac:dyDescent="0.15"/>
    <row r="1756" spans="1:1" ht="15.75" customHeight="1" x14ac:dyDescent="0.15"/>
    <row r="1757" spans="1:1" ht="15.75" customHeight="1" x14ac:dyDescent="0.15"/>
    <row r="1758" spans="1:1" ht="15.75" customHeight="1" x14ac:dyDescent="0.15"/>
    <row r="1759" spans="1:1" ht="15.75" customHeight="1" x14ac:dyDescent="0.15"/>
    <row r="1760" spans="1:1" ht="15.75" customHeight="1" x14ac:dyDescent="0.15"/>
    <row r="1761" spans="1:1" ht="15.75" customHeight="1" x14ac:dyDescent="0.15"/>
    <row r="1762" spans="1:1" ht="15.75" customHeight="1" x14ac:dyDescent="0.15"/>
    <row r="1763" spans="1:1" ht="15.75" customHeight="1" x14ac:dyDescent="0.15"/>
    <row r="1764" spans="1:1" ht="15.75" customHeight="1" x14ac:dyDescent="0.15"/>
    <row r="1765" spans="1:1" ht="15.75" customHeight="1" x14ac:dyDescent="0.15"/>
    <row r="1766" spans="1:1" ht="15.75" customHeight="1" x14ac:dyDescent="0.15"/>
    <row r="1767" spans="1:1" ht="15.75" customHeight="1" x14ac:dyDescent="0.15"/>
    <row r="1768" spans="1:1" ht="15.75" customHeight="1" x14ac:dyDescent="0.15"/>
    <row r="1769" spans="1:1" ht="15.75" customHeight="1" x14ac:dyDescent="0.15"/>
    <row r="1770" spans="1:1" ht="15.75" customHeight="1" x14ac:dyDescent="0.15"/>
    <row r="1771" spans="1:1" ht="15.75" customHeight="1" x14ac:dyDescent="0.15"/>
    <row r="1772" spans="1:1" ht="15.75" customHeight="1" x14ac:dyDescent="0.15"/>
    <row r="1773" spans="1:1" ht="15.75" customHeight="1" x14ac:dyDescent="0.15"/>
    <row r="1774" spans="1:1" ht="15.75" customHeight="1" x14ac:dyDescent="0.15"/>
    <row r="1775" spans="1:1" ht="15.75" customHeight="1" x14ac:dyDescent="0.15"/>
    <row r="1776" spans="1:1" ht="15.75" customHeight="1" x14ac:dyDescent="0.15"/>
    <row r="1777" spans="1:1" ht="15.75" customHeight="1" x14ac:dyDescent="0.15"/>
    <row r="1778" spans="1:1" ht="15.75" customHeight="1" x14ac:dyDescent="0.15"/>
    <row r="1779" spans="1:1" ht="15.75" customHeight="1" x14ac:dyDescent="0.15"/>
    <row r="1780" spans="1:1" ht="15.75" customHeight="1" x14ac:dyDescent="0.15"/>
    <row r="1781" spans="1:1" ht="15.75" customHeight="1" x14ac:dyDescent="0.15"/>
    <row r="1782" spans="1:1" ht="15.75" customHeight="1" x14ac:dyDescent="0.15"/>
    <row r="1783" spans="1:1" ht="15.75" customHeight="1" x14ac:dyDescent="0.15"/>
    <row r="1784" spans="1:1" ht="15.75" customHeight="1" x14ac:dyDescent="0.15"/>
    <row r="1785" spans="1:1" ht="15.75" customHeight="1" x14ac:dyDescent="0.15"/>
    <row r="1786" spans="1:1" ht="15.75" customHeight="1" x14ac:dyDescent="0.15"/>
    <row r="1787" spans="1:1" ht="15.75" customHeight="1" x14ac:dyDescent="0.15"/>
    <row r="1788" spans="1:1" ht="15.75" customHeight="1" x14ac:dyDescent="0.15"/>
    <row r="1789" spans="1:1" ht="15.75" customHeight="1" x14ac:dyDescent="0.15"/>
    <row r="1790" spans="1:1" ht="15.75" customHeight="1" x14ac:dyDescent="0.15"/>
    <row r="1791" spans="1:1" ht="15.75" customHeight="1" x14ac:dyDescent="0.15"/>
    <row r="1792" spans="1:1" ht="15.75" customHeight="1" x14ac:dyDescent="0.15"/>
    <row r="1793" spans="1:1" ht="15.75" customHeight="1" x14ac:dyDescent="0.15"/>
    <row r="1794" spans="1:1" ht="15.75" customHeight="1" x14ac:dyDescent="0.15"/>
    <row r="1795" spans="1:1" ht="15.75" customHeight="1" x14ac:dyDescent="0.15"/>
    <row r="1796" spans="1:1" ht="15.75" customHeight="1" x14ac:dyDescent="0.15"/>
    <row r="1797" spans="1:1" ht="15.75" customHeight="1" x14ac:dyDescent="0.15"/>
    <row r="1798" spans="1:1" ht="15.75" customHeight="1" x14ac:dyDescent="0.15"/>
    <row r="1799" spans="1:1" ht="15.75" customHeight="1" x14ac:dyDescent="0.15"/>
    <row r="1800" spans="1:1" ht="15.75" customHeight="1" x14ac:dyDescent="0.15"/>
    <row r="1801" spans="1:1" ht="15.75" customHeight="1" x14ac:dyDescent="0.15"/>
    <row r="1802" spans="1:1" ht="15.75" customHeight="1" x14ac:dyDescent="0.15"/>
    <row r="1803" spans="1:1" ht="15.75" customHeight="1" x14ac:dyDescent="0.15"/>
    <row r="1804" spans="1:1" ht="15.75" customHeight="1" x14ac:dyDescent="0.15"/>
    <row r="1805" spans="1:1" ht="15.75" customHeight="1" x14ac:dyDescent="0.15"/>
    <row r="1806" spans="1:1" ht="15.75" customHeight="1" x14ac:dyDescent="0.15"/>
    <row r="1807" spans="1:1" ht="15.75" customHeight="1" x14ac:dyDescent="0.15"/>
    <row r="1808" spans="1:1" ht="15.75" customHeight="1" x14ac:dyDescent="0.15"/>
    <row r="1809" spans="1:1" ht="15.75" customHeight="1" x14ac:dyDescent="0.15"/>
    <row r="1810" spans="1:1" ht="15.75" customHeight="1" x14ac:dyDescent="0.15"/>
    <row r="1811" spans="1:1" ht="15.75" customHeight="1" x14ac:dyDescent="0.15"/>
    <row r="1812" spans="1:1" ht="15.75" customHeight="1" x14ac:dyDescent="0.15"/>
    <row r="1813" spans="1:1" ht="15.75" customHeight="1" x14ac:dyDescent="0.15"/>
    <row r="1814" spans="1:1" ht="15.75" customHeight="1" x14ac:dyDescent="0.15"/>
    <row r="1815" spans="1:1" ht="15.75" customHeight="1" x14ac:dyDescent="0.15"/>
    <row r="1816" spans="1:1" ht="15.75" customHeight="1" x14ac:dyDescent="0.15"/>
    <row r="1817" spans="1:1" ht="15.75" customHeight="1" x14ac:dyDescent="0.15"/>
    <row r="1818" spans="1:1" ht="15.75" customHeight="1" x14ac:dyDescent="0.15"/>
    <row r="1819" spans="1:1" ht="15.75" customHeight="1" x14ac:dyDescent="0.15"/>
    <row r="1820" spans="1:1" ht="15.75" customHeight="1" x14ac:dyDescent="0.15"/>
    <row r="1821" spans="1:1" ht="15.75" customHeight="1" x14ac:dyDescent="0.15"/>
    <row r="1822" spans="1:1" ht="15.75" customHeight="1" x14ac:dyDescent="0.15"/>
    <row r="1823" spans="1:1" ht="15.75" customHeight="1" x14ac:dyDescent="0.15"/>
    <row r="1824" spans="1:1" ht="15.75" customHeight="1" x14ac:dyDescent="0.15"/>
    <row r="1825" spans="1:1" ht="15.75" customHeight="1" x14ac:dyDescent="0.15"/>
    <row r="1826" spans="1:1" ht="15.75" customHeight="1" x14ac:dyDescent="0.15"/>
    <row r="1827" spans="1:1" ht="15.75" customHeight="1" x14ac:dyDescent="0.15"/>
    <row r="1828" spans="1:1" ht="15.75" customHeight="1" x14ac:dyDescent="0.15"/>
    <row r="1829" spans="1:1" ht="15.75" customHeight="1" x14ac:dyDescent="0.15"/>
    <row r="1830" spans="1:1" ht="15.75" customHeight="1" x14ac:dyDescent="0.15"/>
    <row r="1831" spans="1:1" ht="15.75" customHeight="1" x14ac:dyDescent="0.15"/>
    <row r="1832" spans="1:1" ht="15.75" customHeight="1" x14ac:dyDescent="0.15"/>
    <row r="1833" spans="1:1" ht="15.75" customHeight="1" x14ac:dyDescent="0.15"/>
    <row r="1834" spans="1:1" ht="15.75" customHeight="1" x14ac:dyDescent="0.15"/>
    <row r="1835" spans="1:1" ht="15.75" customHeight="1" x14ac:dyDescent="0.15"/>
    <row r="1836" spans="1:1" ht="15.75" customHeight="1" x14ac:dyDescent="0.15"/>
    <row r="1837" spans="1:1" ht="15.75" customHeight="1" x14ac:dyDescent="0.15"/>
    <row r="1838" spans="1:1" ht="15.75" customHeight="1" x14ac:dyDescent="0.15"/>
    <row r="1839" spans="1:1" ht="15.75" customHeight="1" x14ac:dyDescent="0.15"/>
    <row r="1840" spans="1:1" ht="15.75" customHeight="1" x14ac:dyDescent="0.15"/>
    <row r="1841" spans="1:1" ht="15.75" customHeight="1" x14ac:dyDescent="0.15"/>
    <row r="1842" spans="1:1" ht="15.75" customHeight="1" x14ac:dyDescent="0.15"/>
    <row r="1843" spans="1:1" ht="15.75" customHeight="1" x14ac:dyDescent="0.15"/>
    <row r="1844" spans="1:1" ht="15.75" customHeight="1" x14ac:dyDescent="0.15"/>
    <row r="1845" spans="1:1" ht="15.75" customHeight="1" x14ac:dyDescent="0.15"/>
    <row r="1846" spans="1:1" ht="15.75" customHeight="1" x14ac:dyDescent="0.15"/>
    <row r="1847" spans="1:1" ht="15.75" customHeight="1" x14ac:dyDescent="0.15"/>
    <row r="1848" spans="1:1" ht="15.75" customHeight="1" x14ac:dyDescent="0.15"/>
    <row r="1849" spans="1:1" ht="15.75" customHeight="1" x14ac:dyDescent="0.15"/>
    <row r="1850" spans="1:1" ht="15.75" customHeight="1" x14ac:dyDescent="0.15"/>
    <row r="1851" spans="1:1" ht="15.75" customHeight="1" x14ac:dyDescent="0.15"/>
    <row r="1852" spans="1:1" ht="15.75" customHeight="1" x14ac:dyDescent="0.15"/>
    <row r="1853" spans="1:1" ht="15.75" customHeight="1" x14ac:dyDescent="0.15"/>
    <row r="1854" spans="1:1" ht="15.75" customHeight="1" x14ac:dyDescent="0.15"/>
    <row r="1855" spans="1:1" ht="15.75" customHeight="1" x14ac:dyDescent="0.15"/>
    <row r="1856" spans="1:1" ht="15.75" customHeight="1" x14ac:dyDescent="0.15"/>
    <row r="1857" spans="1:1" ht="15.75" customHeight="1" x14ac:dyDescent="0.15"/>
    <row r="1858" spans="1:1" ht="15.75" customHeight="1" x14ac:dyDescent="0.15"/>
    <row r="1859" spans="1:1" ht="15.75" customHeight="1" x14ac:dyDescent="0.15"/>
    <row r="1860" spans="1:1" ht="15.75" customHeight="1" x14ac:dyDescent="0.15"/>
    <row r="1861" spans="1:1" ht="15.75" customHeight="1" x14ac:dyDescent="0.15"/>
    <row r="1862" spans="1:1" ht="15.75" customHeight="1" x14ac:dyDescent="0.15"/>
    <row r="1863" spans="1:1" ht="15.75" customHeight="1" x14ac:dyDescent="0.15"/>
    <row r="1864" spans="1:1" ht="15.75" customHeight="1" x14ac:dyDescent="0.15"/>
    <row r="1865" spans="1:1" ht="15.75" customHeight="1" x14ac:dyDescent="0.15"/>
    <row r="1866" spans="1:1" ht="15.75" customHeight="1" x14ac:dyDescent="0.15"/>
    <row r="1867" spans="1:1" ht="15.75" customHeight="1" x14ac:dyDescent="0.15"/>
    <row r="1868" spans="1:1" ht="15.75" customHeight="1" x14ac:dyDescent="0.15"/>
    <row r="1869" spans="1:1" ht="15.75" customHeight="1" x14ac:dyDescent="0.15"/>
    <row r="1870" spans="1:1" ht="15.75" customHeight="1" x14ac:dyDescent="0.15"/>
    <row r="1871" spans="1:1" ht="15.75" customHeight="1" x14ac:dyDescent="0.15"/>
    <row r="1872" spans="1:1" ht="15.75" customHeight="1" x14ac:dyDescent="0.15"/>
    <row r="1873" spans="1:1" ht="15.75" customHeight="1" x14ac:dyDescent="0.15"/>
    <row r="1874" spans="1:1" ht="15.75" customHeight="1" x14ac:dyDescent="0.15"/>
    <row r="1875" spans="1:1" ht="15.75" customHeight="1" x14ac:dyDescent="0.15"/>
    <row r="1876" spans="1:1" ht="15.75" customHeight="1" x14ac:dyDescent="0.15"/>
    <row r="1877" spans="1:1" ht="15.75" customHeight="1" x14ac:dyDescent="0.15"/>
    <row r="1878" spans="1:1" ht="15.75" customHeight="1" x14ac:dyDescent="0.15"/>
    <row r="1879" spans="1:1" ht="15.75" customHeight="1" x14ac:dyDescent="0.15"/>
    <row r="1880" spans="1:1" ht="15.75" customHeight="1" x14ac:dyDescent="0.15"/>
    <row r="1881" spans="1:1" ht="15.75" customHeight="1" x14ac:dyDescent="0.15"/>
    <row r="1882" spans="1:1" ht="15.75" customHeight="1" x14ac:dyDescent="0.15"/>
    <row r="1883" spans="1:1" ht="15.75" customHeight="1" x14ac:dyDescent="0.15"/>
    <row r="1884" spans="1:1" ht="15.75" customHeight="1" x14ac:dyDescent="0.15"/>
    <row r="1885" spans="1:1" ht="15.75" customHeight="1" x14ac:dyDescent="0.15"/>
    <row r="1886" spans="1:1" ht="15.75" customHeight="1" x14ac:dyDescent="0.15"/>
    <row r="1887" spans="1:1" ht="15.75" customHeight="1" x14ac:dyDescent="0.15"/>
    <row r="1888" spans="1:1" ht="15.75" customHeight="1" x14ac:dyDescent="0.15"/>
    <row r="1889" spans="1:1" ht="15.75" customHeight="1" x14ac:dyDescent="0.15"/>
    <row r="1890" spans="1:1" ht="15.75" customHeight="1" x14ac:dyDescent="0.15"/>
    <row r="1891" spans="1:1" ht="15.75" customHeight="1" x14ac:dyDescent="0.15"/>
    <row r="1892" spans="1:1" ht="15.75" customHeight="1" x14ac:dyDescent="0.15"/>
    <row r="1893" spans="1:1" ht="15.75" customHeight="1" x14ac:dyDescent="0.15"/>
    <row r="1894" spans="1:1" ht="15.75" customHeight="1" x14ac:dyDescent="0.15"/>
    <row r="1895" spans="1:1" ht="15.75" customHeight="1" x14ac:dyDescent="0.15"/>
    <row r="1896" spans="1:1" ht="15.75" customHeight="1" x14ac:dyDescent="0.15"/>
    <row r="1897" spans="1:1" ht="15.75" customHeight="1" x14ac:dyDescent="0.15"/>
    <row r="1898" spans="1:1" ht="15.75" customHeight="1" x14ac:dyDescent="0.15"/>
    <row r="1899" spans="1:1" ht="15.75" customHeight="1" x14ac:dyDescent="0.15"/>
    <row r="1900" spans="1:1" ht="15.75" customHeight="1" x14ac:dyDescent="0.15"/>
    <row r="1901" spans="1:1" ht="15.75" customHeight="1" x14ac:dyDescent="0.15"/>
    <row r="1902" spans="1:1" ht="15.75" customHeight="1" x14ac:dyDescent="0.15"/>
    <row r="1903" spans="1:1" ht="15.75" customHeight="1" x14ac:dyDescent="0.15"/>
    <row r="1904" spans="1:1" ht="15.75" customHeight="1" x14ac:dyDescent="0.15"/>
    <row r="1905" spans="1:1" ht="15.75" customHeight="1" x14ac:dyDescent="0.15"/>
    <row r="1906" spans="1:1" ht="15.75" customHeight="1" x14ac:dyDescent="0.15"/>
    <row r="1907" spans="1:1" ht="15.75" customHeight="1" x14ac:dyDescent="0.15"/>
    <row r="1908" spans="1:1" ht="15.75" customHeight="1" x14ac:dyDescent="0.15"/>
    <row r="1909" spans="1:1" ht="15.75" customHeight="1" x14ac:dyDescent="0.15"/>
    <row r="1910" spans="1:1" ht="15.75" customHeight="1" x14ac:dyDescent="0.15"/>
    <row r="1911" spans="1:1" ht="15.75" customHeight="1" x14ac:dyDescent="0.15"/>
    <row r="1912" spans="1:1" ht="15.75" customHeight="1" x14ac:dyDescent="0.15"/>
    <row r="1913" spans="1:1" ht="15.75" customHeight="1" x14ac:dyDescent="0.15"/>
    <row r="1914" spans="1:1" ht="15.75" customHeight="1" x14ac:dyDescent="0.15"/>
    <row r="1915" spans="1:1" ht="15.75" customHeight="1" x14ac:dyDescent="0.15"/>
    <row r="1916" spans="1:1" ht="15.75" customHeight="1" x14ac:dyDescent="0.15"/>
    <row r="1917" spans="1:1" ht="15.75" customHeight="1" x14ac:dyDescent="0.15"/>
    <row r="1918" spans="1:1" ht="15.75" customHeight="1" x14ac:dyDescent="0.15"/>
    <row r="1919" spans="1:1" ht="15.75" customHeight="1" x14ac:dyDescent="0.15"/>
    <row r="1920" spans="1:1" ht="15.75" customHeight="1" x14ac:dyDescent="0.15"/>
    <row r="1921" spans="1:1" ht="15.75" customHeight="1" x14ac:dyDescent="0.15"/>
    <row r="1922" spans="1:1" ht="15.75" customHeight="1" x14ac:dyDescent="0.15"/>
    <row r="1923" spans="1:1" ht="15.75" customHeight="1" x14ac:dyDescent="0.15"/>
    <row r="1924" spans="1:1" ht="15.75" customHeight="1" x14ac:dyDescent="0.15"/>
    <row r="1925" spans="1:1" ht="15.75" customHeight="1" x14ac:dyDescent="0.15"/>
    <row r="1926" spans="1:1" ht="15.75" customHeight="1" x14ac:dyDescent="0.15"/>
    <row r="1927" spans="1:1" ht="15.75" customHeight="1" x14ac:dyDescent="0.15"/>
    <row r="1928" spans="1:1" ht="15.75" customHeight="1" x14ac:dyDescent="0.15"/>
    <row r="1929" spans="1:1" ht="15.75" customHeight="1" x14ac:dyDescent="0.15"/>
    <row r="1930" spans="1:1" ht="15.75" customHeight="1" x14ac:dyDescent="0.15"/>
    <row r="1931" spans="1:1" ht="15.75" customHeight="1" x14ac:dyDescent="0.15"/>
    <row r="1932" spans="1:1" ht="15.75" customHeight="1" x14ac:dyDescent="0.15"/>
    <row r="1933" spans="1:1" ht="15.75" customHeight="1" x14ac:dyDescent="0.15"/>
    <row r="1934" spans="1:1" ht="15.75" customHeight="1" x14ac:dyDescent="0.15"/>
    <row r="1935" spans="1:1" ht="15.75" customHeight="1" x14ac:dyDescent="0.15"/>
    <row r="1936" spans="1:1" ht="15.75" customHeight="1" x14ac:dyDescent="0.15"/>
    <row r="1937" spans="1:1" ht="15.75" customHeight="1" x14ac:dyDescent="0.15"/>
    <row r="1938" spans="1:1" ht="15.75" customHeight="1" x14ac:dyDescent="0.15"/>
    <row r="1939" spans="1:1" ht="15.75" customHeight="1" x14ac:dyDescent="0.15"/>
    <row r="1940" spans="1:1" ht="15.75" customHeight="1" x14ac:dyDescent="0.15"/>
    <row r="1941" spans="1:1" ht="15.75" customHeight="1" x14ac:dyDescent="0.15"/>
    <row r="1942" spans="1:1" ht="15.75" customHeight="1" x14ac:dyDescent="0.15"/>
    <row r="1943" spans="1:1" ht="15.75" customHeight="1" x14ac:dyDescent="0.15"/>
    <row r="1944" spans="1:1" ht="15.75" customHeight="1" x14ac:dyDescent="0.15"/>
    <row r="1945" spans="1:1" ht="15.75" customHeight="1" x14ac:dyDescent="0.15"/>
    <row r="1946" spans="1:1" ht="15.75" customHeight="1" x14ac:dyDescent="0.15"/>
    <row r="1947" spans="1:1" ht="15.75" customHeight="1" x14ac:dyDescent="0.15"/>
    <row r="1948" spans="1:1" ht="15.75" customHeight="1" x14ac:dyDescent="0.15"/>
    <row r="1949" spans="1:1" ht="15.75" customHeight="1" x14ac:dyDescent="0.15"/>
    <row r="1950" spans="1:1" ht="15.75" customHeight="1" x14ac:dyDescent="0.15"/>
    <row r="1951" spans="1:1" ht="15.75" customHeight="1" x14ac:dyDescent="0.15"/>
    <row r="1952" spans="1:1" ht="15.75" customHeight="1" x14ac:dyDescent="0.15"/>
    <row r="1953" spans="1:1" ht="15.75" customHeight="1" x14ac:dyDescent="0.15"/>
    <row r="1954" spans="1:1" ht="15.75" customHeight="1" x14ac:dyDescent="0.15"/>
    <row r="1955" spans="1:1" ht="15.75" customHeight="1" x14ac:dyDescent="0.15"/>
    <row r="1956" spans="1:1" ht="15.75" customHeight="1" x14ac:dyDescent="0.15"/>
    <row r="1957" spans="1:1" ht="15.75" customHeight="1" x14ac:dyDescent="0.15"/>
    <row r="1958" spans="1:1" ht="15.75" customHeight="1" x14ac:dyDescent="0.15"/>
    <row r="1959" spans="1:1" ht="15.75" customHeight="1" x14ac:dyDescent="0.15"/>
    <row r="1960" spans="1:1" ht="15.75" customHeight="1" x14ac:dyDescent="0.15"/>
    <row r="1961" spans="1:1" ht="15.75" customHeight="1" x14ac:dyDescent="0.15"/>
    <row r="1962" spans="1:1" ht="15.75" customHeight="1" x14ac:dyDescent="0.15"/>
    <row r="1963" spans="1:1" ht="15.75" customHeight="1" x14ac:dyDescent="0.15"/>
    <row r="1964" spans="1:1" ht="15.75" customHeight="1" x14ac:dyDescent="0.15"/>
    <row r="1965" spans="1:1" ht="15.75" customHeight="1" x14ac:dyDescent="0.15"/>
    <row r="1966" spans="1:1" ht="15.75" customHeight="1" x14ac:dyDescent="0.15"/>
    <row r="1967" spans="1:1" ht="15.75" customHeight="1" x14ac:dyDescent="0.15"/>
    <row r="1968" spans="1:1" ht="15.75" customHeight="1" x14ac:dyDescent="0.15"/>
    <row r="1969" spans="1:1" ht="15.75" customHeight="1" x14ac:dyDescent="0.15"/>
    <row r="1970" spans="1:1" ht="15.75" customHeight="1" x14ac:dyDescent="0.15"/>
    <row r="1971" spans="1:1" ht="15.75" customHeight="1" x14ac:dyDescent="0.15"/>
    <row r="1972" spans="1:1" ht="15.75" customHeight="1" x14ac:dyDescent="0.15"/>
    <row r="1973" spans="1:1" ht="15.75" customHeight="1" x14ac:dyDescent="0.15"/>
    <row r="1974" spans="1:1" ht="15.75" customHeight="1" x14ac:dyDescent="0.15"/>
    <row r="1975" spans="1:1" ht="15.75" customHeight="1" x14ac:dyDescent="0.15"/>
    <row r="1976" spans="1:1" ht="15.75" customHeight="1" x14ac:dyDescent="0.15"/>
    <row r="1977" spans="1:1" ht="15.75" customHeight="1" x14ac:dyDescent="0.15"/>
    <row r="1978" spans="1:1" ht="15.75" customHeight="1" x14ac:dyDescent="0.15"/>
    <row r="1979" spans="1:1" ht="15.75" customHeight="1" x14ac:dyDescent="0.15"/>
    <row r="1980" spans="1:1" ht="15.75" customHeight="1" x14ac:dyDescent="0.15"/>
    <row r="1981" spans="1:1" ht="15.75" customHeight="1" x14ac:dyDescent="0.15"/>
    <row r="1982" spans="1:1" ht="15.75" customHeight="1" x14ac:dyDescent="0.15"/>
    <row r="1983" spans="1:1" ht="15.75" customHeight="1" x14ac:dyDescent="0.15"/>
    <row r="1984" spans="1:1" ht="15.75" customHeight="1" x14ac:dyDescent="0.15"/>
    <row r="1985" spans="1:1" ht="15.75" customHeight="1" x14ac:dyDescent="0.15"/>
    <row r="1986" spans="1:1" ht="15.75" customHeight="1" x14ac:dyDescent="0.15"/>
    <row r="1987" spans="1:1" ht="15.75" customHeight="1" x14ac:dyDescent="0.15"/>
    <row r="1988" spans="1:1" ht="15.75" customHeight="1" x14ac:dyDescent="0.15"/>
    <row r="1989" spans="1:1" ht="15.75" customHeight="1" x14ac:dyDescent="0.15"/>
    <row r="1990" spans="1:1" ht="15.75" customHeight="1" x14ac:dyDescent="0.15"/>
    <row r="1991" spans="1:1" ht="15.75" customHeight="1" x14ac:dyDescent="0.15"/>
    <row r="1992" spans="1:1" ht="15.75" customHeight="1" x14ac:dyDescent="0.15"/>
    <row r="1993" spans="1:1" ht="15.75" customHeight="1" x14ac:dyDescent="0.15"/>
    <row r="1994" spans="1:1" ht="15.75" customHeight="1" x14ac:dyDescent="0.15"/>
    <row r="1995" spans="1:1" ht="15.75" customHeight="1" x14ac:dyDescent="0.15"/>
    <row r="1996" spans="1:1" ht="15.75" customHeight="1" x14ac:dyDescent="0.15"/>
    <row r="1997" spans="1:1" ht="15.75" customHeight="1" x14ac:dyDescent="0.15"/>
    <row r="1998" spans="1:1" ht="15.75" customHeight="1" x14ac:dyDescent="0.15"/>
    <row r="1999" spans="1:1" ht="15.75" customHeight="1" x14ac:dyDescent="0.15"/>
    <row r="2000" spans="1:1" ht="15.75" customHeight="1" x14ac:dyDescent="0.15"/>
    <row r="2001" spans="1:1" ht="15.75" customHeight="1" x14ac:dyDescent="0.15"/>
    <row r="2002" spans="1:1" ht="15.75" customHeight="1" x14ac:dyDescent="0.15"/>
    <row r="2003" spans="1:1" ht="15.75" customHeight="1" x14ac:dyDescent="0.15"/>
    <row r="2004" spans="1:1" ht="15.75" customHeight="1" x14ac:dyDescent="0.15"/>
    <row r="2005" spans="1:1" ht="15.75" customHeight="1" x14ac:dyDescent="0.15"/>
    <row r="2006" spans="1:1" ht="15.75" customHeight="1" x14ac:dyDescent="0.15"/>
    <row r="2007" spans="1:1" ht="15.75" customHeight="1" x14ac:dyDescent="0.15"/>
    <row r="2008" spans="1:1" ht="15.75" customHeight="1" x14ac:dyDescent="0.15"/>
    <row r="2009" spans="1:1" ht="15.75" customHeight="1" x14ac:dyDescent="0.15"/>
    <row r="2010" spans="1:1" ht="15.75" customHeight="1" x14ac:dyDescent="0.15"/>
    <row r="2011" spans="1:1" ht="15.75" customHeight="1" x14ac:dyDescent="0.15"/>
    <row r="2012" spans="1:1" ht="15.75" customHeight="1" x14ac:dyDescent="0.15"/>
    <row r="2013" spans="1:1" ht="15.75" customHeight="1" x14ac:dyDescent="0.15"/>
    <row r="2014" spans="1:1" ht="15.75" customHeight="1" x14ac:dyDescent="0.15"/>
    <row r="2015" spans="1:1" ht="15.75" customHeight="1" x14ac:dyDescent="0.15"/>
    <row r="2016" spans="1:1" ht="15.75" customHeight="1" x14ac:dyDescent="0.15"/>
    <row r="2017" spans="1:1" ht="15.75" customHeight="1" x14ac:dyDescent="0.15"/>
    <row r="2018" spans="1:1" ht="15.75" customHeight="1" x14ac:dyDescent="0.15"/>
    <row r="2019" spans="1:1" ht="15.75" customHeight="1" x14ac:dyDescent="0.15"/>
    <row r="2020" spans="1:1" ht="15.75" customHeight="1" x14ac:dyDescent="0.15"/>
    <row r="2021" spans="1:1" ht="15.75" customHeight="1" x14ac:dyDescent="0.15"/>
    <row r="2022" spans="1:1" ht="15.75" customHeight="1" x14ac:dyDescent="0.15"/>
    <row r="2023" spans="1:1" ht="15.75" customHeight="1" x14ac:dyDescent="0.15"/>
    <row r="2024" spans="1:1" ht="15.75" customHeight="1" x14ac:dyDescent="0.15"/>
    <row r="2025" spans="1:1" ht="15.75" customHeight="1" x14ac:dyDescent="0.15"/>
    <row r="2026" spans="1:1" ht="15.75" customHeight="1" x14ac:dyDescent="0.15"/>
    <row r="2027" spans="1:1" ht="15.75" customHeight="1" x14ac:dyDescent="0.15"/>
    <row r="2028" spans="1:1" ht="15.75" customHeight="1" x14ac:dyDescent="0.15"/>
    <row r="2029" spans="1:1" ht="15.75" customHeight="1" x14ac:dyDescent="0.15"/>
    <row r="2030" spans="1:1" ht="15.75" customHeight="1" x14ac:dyDescent="0.15"/>
    <row r="2031" spans="1:1" ht="15.75" customHeight="1" x14ac:dyDescent="0.15"/>
    <row r="2032" spans="1:1" ht="15.75" customHeight="1" x14ac:dyDescent="0.15"/>
    <row r="2033" spans="1:1" ht="15.75" customHeight="1" x14ac:dyDescent="0.15"/>
    <row r="2034" spans="1:1" ht="15.75" customHeight="1" x14ac:dyDescent="0.15"/>
    <row r="2035" spans="1:1" ht="15.75" customHeight="1" x14ac:dyDescent="0.15"/>
    <row r="2036" spans="1:1" ht="15.75" customHeight="1" x14ac:dyDescent="0.15"/>
    <row r="2037" spans="1:1" ht="15.75" customHeight="1" x14ac:dyDescent="0.15"/>
    <row r="2038" spans="1:1" ht="15.75" customHeight="1" x14ac:dyDescent="0.15"/>
    <row r="2039" spans="1:1" ht="15.75" customHeight="1" x14ac:dyDescent="0.15"/>
    <row r="2040" spans="1:1" ht="15.75" customHeight="1" x14ac:dyDescent="0.15"/>
    <row r="2041" spans="1:1" ht="15.75" customHeight="1" x14ac:dyDescent="0.15"/>
    <row r="2042" spans="1:1" ht="15.75" customHeight="1" x14ac:dyDescent="0.15"/>
    <row r="2043" spans="1:1" ht="15.75" customHeight="1" x14ac:dyDescent="0.15"/>
    <row r="2044" spans="1:1" ht="15.75" customHeight="1" x14ac:dyDescent="0.15"/>
    <row r="2045" spans="1:1" ht="15.75" customHeight="1" x14ac:dyDescent="0.15"/>
    <row r="2046" spans="1:1" ht="15.75" customHeight="1" x14ac:dyDescent="0.15"/>
    <row r="2047" spans="1:1" ht="15.75" customHeight="1" x14ac:dyDescent="0.15"/>
    <row r="2048" spans="1:1" ht="15.75" customHeight="1" x14ac:dyDescent="0.15"/>
    <row r="2049" spans="1:1" ht="15.75" customHeight="1" x14ac:dyDescent="0.15"/>
    <row r="2050" spans="1:1" ht="15.75" customHeight="1" x14ac:dyDescent="0.15"/>
    <row r="2051" spans="1:1" ht="15.75" customHeight="1" x14ac:dyDescent="0.15"/>
    <row r="2052" spans="1:1" ht="15.75" customHeight="1" x14ac:dyDescent="0.15"/>
    <row r="2053" spans="1:1" ht="15.75" customHeight="1" x14ac:dyDescent="0.15"/>
    <row r="2054" spans="1:1" ht="15.75" customHeight="1" x14ac:dyDescent="0.15"/>
    <row r="2055" spans="1:1" ht="15.75" customHeight="1" x14ac:dyDescent="0.15"/>
    <row r="2056" spans="1:1" ht="15.75" customHeight="1" x14ac:dyDescent="0.15"/>
    <row r="2057" spans="1:1" ht="15.75" customHeight="1" x14ac:dyDescent="0.15"/>
    <row r="2058" spans="1:1" ht="15.75" customHeight="1" x14ac:dyDescent="0.15"/>
    <row r="2059" spans="1:1" ht="15.75" customHeight="1" x14ac:dyDescent="0.15"/>
    <row r="2060" spans="1:1" ht="15.75" customHeight="1" x14ac:dyDescent="0.15"/>
    <row r="2061" spans="1:1" ht="15.75" customHeight="1" x14ac:dyDescent="0.15"/>
    <row r="2062" spans="1:1" ht="15.75" customHeight="1" x14ac:dyDescent="0.15"/>
    <row r="2063" spans="1:1" ht="15.75" customHeight="1" x14ac:dyDescent="0.15"/>
    <row r="2064" spans="1:1" ht="15.75" customHeight="1" x14ac:dyDescent="0.15"/>
    <row r="2065" spans="1:1" ht="15.75" customHeight="1" x14ac:dyDescent="0.15"/>
    <row r="2066" spans="1:1" ht="15.75" customHeight="1" x14ac:dyDescent="0.15"/>
    <row r="2067" spans="1:1" ht="15.75" customHeight="1" x14ac:dyDescent="0.15"/>
    <row r="2068" spans="1:1" ht="15.75" customHeight="1" x14ac:dyDescent="0.15"/>
    <row r="2069" spans="1:1" ht="15.75" customHeight="1" x14ac:dyDescent="0.15"/>
    <row r="2070" spans="1:1" ht="15.75" customHeight="1" x14ac:dyDescent="0.15"/>
    <row r="2071" spans="1:1" ht="15.75" customHeight="1" x14ac:dyDescent="0.15"/>
    <row r="2072" spans="1:1" ht="15.75" customHeight="1" x14ac:dyDescent="0.15"/>
    <row r="2073" spans="1:1" ht="15.75" customHeight="1" x14ac:dyDescent="0.15"/>
    <row r="2074" spans="1:1" ht="15.75" customHeight="1" x14ac:dyDescent="0.15"/>
    <row r="2075" spans="1:1" ht="15.75" customHeight="1" x14ac:dyDescent="0.15"/>
    <row r="2076" spans="1:1" ht="15.75" customHeight="1" x14ac:dyDescent="0.15"/>
    <row r="2077" spans="1:1" ht="15.75" customHeight="1" x14ac:dyDescent="0.15"/>
    <row r="2078" spans="1:1" ht="15.75" customHeight="1" x14ac:dyDescent="0.15"/>
    <row r="2079" spans="1:1" ht="15.75" customHeight="1" x14ac:dyDescent="0.15"/>
    <row r="2080" spans="1:1" ht="15.75" customHeight="1" x14ac:dyDescent="0.15"/>
    <row r="2081" spans="1:1" ht="15.75" customHeight="1" x14ac:dyDescent="0.15"/>
    <row r="2082" spans="1:1" ht="15.75" customHeight="1" x14ac:dyDescent="0.15"/>
    <row r="2083" spans="1:1" ht="15.75" customHeight="1" x14ac:dyDescent="0.15"/>
    <row r="2084" spans="1:1" ht="15.75" customHeight="1" x14ac:dyDescent="0.15"/>
    <row r="2085" spans="1:1" ht="15.75" customHeight="1" x14ac:dyDescent="0.15"/>
    <row r="2086" spans="1:1" ht="15.75" customHeight="1" x14ac:dyDescent="0.15"/>
    <row r="2087" spans="1:1" ht="15.75" customHeight="1" x14ac:dyDescent="0.15"/>
    <row r="2088" spans="1:1" ht="15.75" customHeight="1" x14ac:dyDescent="0.15"/>
    <row r="2089" spans="1:1" ht="15.75" customHeight="1" x14ac:dyDescent="0.15"/>
    <row r="2090" spans="1:1" ht="15.75" customHeight="1" x14ac:dyDescent="0.15"/>
    <row r="2091" spans="1:1" ht="15.75" customHeight="1" x14ac:dyDescent="0.15"/>
    <row r="2092" spans="1:1" ht="15.75" customHeight="1" x14ac:dyDescent="0.15"/>
    <row r="2093" spans="1:1" ht="15.75" customHeight="1" x14ac:dyDescent="0.15"/>
    <row r="2094" spans="1:1" ht="15.75" customHeight="1" x14ac:dyDescent="0.15"/>
    <row r="2095" spans="1:1" ht="15.75" customHeight="1" x14ac:dyDescent="0.15"/>
    <row r="2096" spans="1:1" ht="15.75" customHeight="1" x14ac:dyDescent="0.15"/>
    <row r="2097" spans="1:1" ht="15.75" customHeight="1" x14ac:dyDescent="0.15"/>
    <row r="2098" spans="1:1" ht="15.75" customHeight="1" x14ac:dyDescent="0.15"/>
    <row r="2099" spans="1:1" ht="15.75" customHeight="1" x14ac:dyDescent="0.15"/>
    <row r="2100" spans="1:1" ht="15.75" customHeight="1" x14ac:dyDescent="0.15"/>
    <row r="2101" spans="1:1" ht="15.75" customHeight="1" x14ac:dyDescent="0.15"/>
    <row r="2102" spans="1:1" ht="15.75" customHeight="1" x14ac:dyDescent="0.15"/>
    <row r="2103" spans="1:1" ht="15.75" customHeight="1" x14ac:dyDescent="0.15"/>
    <row r="2104" spans="1:1" ht="15.75" customHeight="1" x14ac:dyDescent="0.15"/>
    <row r="2105" spans="1:1" ht="15.75" customHeight="1" x14ac:dyDescent="0.15"/>
    <row r="2106" spans="1:1" ht="15.75" customHeight="1" x14ac:dyDescent="0.15"/>
    <row r="2107" spans="1:1" ht="15.75" customHeight="1" x14ac:dyDescent="0.15"/>
    <row r="2108" spans="1:1" ht="15.75" customHeight="1" x14ac:dyDescent="0.15"/>
    <row r="2109" spans="1:1" ht="15.75" customHeight="1" x14ac:dyDescent="0.15"/>
    <row r="2110" spans="1:1" ht="15.75" customHeight="1" x14ac:dyDescent="0.15"/>
    <row r="2111" spans="1:1" ht="15.75" customHeight="1" x14ac:dyDescent="0.15"/>
    <row r="2112" spans="1:1" ht="15.75" customHeight="1" x14ac:dyDescent="0.15"/>
    <row r="2113" spans="1:1" ht="15.75" customHeight="1" x14ac:dyDescent="0.15"/>
    <row r="2114" spans="1:1" ht="15.75" customHeight="1" x14ac:dyDescent="0.15"/>
    <row r="2115" spans="1:1" ht="15.75" customHeight="1" x14ac:dyDescent="0.15"/>
    <row r="2116" spans="1:1" ht="15.75" customHeight="1" x14ac:dyDescent="0.15"/>
    <row r="2117" spans="1:1" ht="15.75" customHeight="1" x14ac:dyDescent="0.15"/>
    <row r="2118" spans="1:1" ht="15.75" customHeight="1" x14ac:dyDescent="0.15"/>
    <row r="2119" spans="1:1" ht="15.75" customHeight="1" x14ac:dyDescent="0.15"/>
    <row r="2120" spans="1:1" ht="15.75" customHeight="1" x14ac:dyDescent="0.15"/>
    <row r="2121" spans="1:1" ht="15.75" customHeight="1" x14ac:dyDescent="0.15"/>
    <row r="2122" spans="1:1" ht="15.75" customHeight="1" x14ac:dyDescent="0.15"/>
    <row r="2123" spans="1:1" ht="15.75" customHeight="1" x14ac:dyDescent="0.15"/>
    <row r="2124" spans="1:1" ht="15.75" customHeight="1" x14ac:dyDescent="0.15"/>
    <row r="2125" spans="1:1" ht="15.75" customHeight="1" x14ac:dyDescent="0.15"/>
    <row r="2126" spans="1:1" ht="15.75" customHeight="1" x14ac:dyDescent="0.15"/>
    <row r="2127" spans="1:1" ht="15.75" customHeight="1" x14ac:dyDescent="0.15"/>
    <row r="2128" spans="1:1" ht="15.75" customHeight="1" x14ac:dyDescent="0.15"/>
    <row r="2129" spans="1:1" ht="15.75" customHeight="1" x14ac:dyDescent="0.15"/>
    <row r="2130" spans="1:1" ht="15.75" customHeight="1" x14ac:dyDescent="0.15"/>
    <row r="2131" spans="1:1" ht="15.75" customHeight="1" x14ac:dyDescent="0.15"/>
    <row r="2132" spans="1:1" ht="15.75" customHeight="1" x14ac:dyDescent="0.15"/>
    <row r="2133" spans="1:1" ht="15.75" customHeight="1" x14ac:dyDescent="0.15"/>
    <row r="2134" spans="1:1" ht="15.75" customHeight="1" x14ac:dyDescent="0.15"/>
    <row r="2135" spans="1:1" ht="15.75" customHeight="1" x14ac:dyDescent="0.15"/>
    <row r="2136" spans="1:1" ht="15.75" customHeight="1" x14ac:dyDescent="0.15"/>
    <row r="2137" spans="1:1" ht="15.75" customHeight="1" x14ac:dyDescent="0.15"/>
    <row r="2138" spans="1:1" ht="15.75" customHeight="1" x14ac:dyDescent="0.15"/>
    <row r="2139" spans="1:1" ht="15.75" customHeight="1" x14ac:dyDescent="0.15"/>
    <row r="2140" spans="1:1" ht="15.75" customHeight="1" x14ac:dyDescent="0.15"/>
    <row r="2141" spans="1:1" ht="15.75" customHeight="1" x14ac:dyDescent="0.15"/>
    <row r="2142" spans="1:1" ht="15.75" customHeight="1" x14ac:dyDescent="0.15"/>
    <row r="2143" spans="1:1" ht="15.75" customHeight="1" x14ac:dyDescent="0.15"/>
    <row r="2144" spans="1:1" ht="15.75" customHeight="1" x14ac:dyDescent="0.15"/>
    <row r="2145" spans="1:1" ht="15.75" customHeight="1" x14ac:dyDescent="0.15"/>
    <row r="2146" spans="1:1" ht="15.75" customHeight="1" x14ac:dyDescent="0.15"/>
    <row r="2147" spans="1:1" ht="15.75" customHeight="1" x14ac:dyDescent="0.15"/>
    <row r="2148" spans="1:1" ht="15.75" customHeight="1" x14ac:dyDescent="0.15"/>
    <row r="2149" spans="1:1" ht="15.75" customHeight="1" x14ac:dyDescent="0.15"/>
    <row r="2150" spans="1:1" ht="15.75" customHeight="1" x14ac:dyDescent="0.15"/>
    <row r="2151" spans="1:1" ht="15.75" customHeight="1" x14ac:dyDescent="0.15"/>
    <row r="2152" spans="1:1" ht="15.75" customHeight="1" x14ac:dyDescent="0.15"/>
    <row r="2153" spans="1:1" ht="15.75" customHeight="1" x14ac:dyDescent="0.15"/>
    <row r="2154" spans="1:1" ht="15.75" customHeight="1" x14ac:dyDescent="0.15"/>
    <row r="2155" spans="1:1" ht="15.75" customHeight="1" x14ac:dyDescent="0.15"/>
    <row r="2156" spans="1:1" ht="15.75" customHeight="1" x14ac:dyDescent="0.15"/>
  </sheetData>
  <autoFilter ref="A1:X2156"/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K100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1" width="12.571428571428571" customWidth="1"/>
  </cols>
  <sheetData>
    <row r="1" spans="1:1" ht="15.75" customHeight="1" x14ac:dyDescent="0.15"/>
    <row r="2" spans="1:1" ht="15.75" customHeight="1" x14ac:dyDescent="0.15"/>
    <row r="3" spans="1:1" ht="15.75" customHeight="1" x14ac:dyDescent="0.15"/>
    <row r="4" spans="1:1" ht="15.75" customHeight="1" x14ac:dyDescent="0.15"/>
    <row r="5" spans="1:1" ht="15.75" customHeight="1" x14ac:dyDescent="0.15"/>
    <row r="6" spans="1:1" ht="15.75" customHeight="1" x14ac:dyDescent="0.15"/>
    <row r="7" spans="1:1" ht="15.75" customHeight="1" x14ac:dyDescent="0.15"/>
    <row r="8" spans="1:1" ht="15.75" customHeight="1" x14ac:dyDescent="0.15"/>
    <row r="9" spans="1:1" ht="15.75" customHeight="1" x14ac:dyDescent="0.15"/>
    <row r="10" spans="1:1" ht="15.75" customHeight="1" x14ac:dyDescent="0.15"/>
    <row r="11" spans="1:1" ht="15.75" customHeight="1" x14ac:dyDescent="0.15"/>
    <row r="12" spans="1:1" ht="15.75" customHeight="1" x14ac:dyDescent="0.15"/>
    <row r="13" spans="1:1" ht="15.75" customHeight="1" x14ac:dyDescent="0.15"/>
    <row r="14" spans="1:1" ht="15.75" customHeight="1" x14ac:dyDescent="0.15"/>
    <row r="15" spans="1:1" ht="15.75" customHeight="1" x14ac:dyDescent="0.15"/>
    <row r="16" spans="1:1" ht="15.75" customHeight="1" x14ac:dyDescent="0.15"/>
    <row r="17" spans="1:1" ht="15.75" customHeight="1" x14ac:dyDescent="0.15"/>
    <row r="18" spans="1:1" ht="15.75" customHeight="1" x14ac:dyDescent="0.15"/>
    <row r="19" spans="1:1" ht="15.75" customHeight="1" x14ac:dyDescent="0.15"/>
    <row r="20" spans="1:1" ht="15.75" customHeight="1" x14ac:dyDescent="0.15"/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spans="1:1" ht="15.75" customHeight="1" x14ac:dyDescent="0.15"/>
    <row r="34" spans="1:1" ht="15.75" customHeight="1" x14ac:dyDescent="0.15"/>
    <row r="35" spans="1:1" ht="15.75" customHeight="1" x14ac:dyDescent="0.15"/>
    <row r="36" spans="1:1" ht="15.75" customHeight="1" x14ac:dyDescent="0.15"/>
    <row r="37" spans="1:1" ht="15.75" customHeight="1" x14ac:dyDescent="0.15"/>
    <row r="38" spans="1:1" ht="15.75" customHeight="1" x14ac:dyDescent="0.15"/>
    <row r="39" spans="1:1" ht="15.75" customHeight="1" x14ac:dyDescent="0.15"/>
    <row r="40" spans="1:1" ht="15.75" customHeight="1" x14ac:dyDescent="0.15"/>
    <row r="41" spans="1:1" ht="15.75" customHeight="1" x14ac:dyDescent="0.15"/>
    <row r="42" spans="1:1" ht="15.75" customHeight="1" x14ac:dyDescent="0.15"/>
    <row r="43" spans="1:1" ht="15.75" customHeight="1" x14ac:dyDescent="0.15"/>
    <row r="44" spans="1:1" ht="15.75" customHeight="1" x14ac:dyDescent="0.15"/>
    <row r="45" spans="1:1" ht="15.75" customHeight="1" x14ac:dyDescent="0.15"/>
    <row r="46" spans="1:1" ht="15.75" customHeight="1" x14ac:dyDescent="0.15"/>
    <row r="47" spans="1:1" ht="15.75" customHeight="1" x14ac:dyDescent="0.15"/>
    <row r="48" spans="1:1" ht="15.75" customHeight="1" x14ac:dyDescent="0.15"/>
    <row r="49" spans="1:1" ht="15.75" customHeight="1" x14ac:dyDescent="0.15"/>
    <row r="50" spans="1:1" ht="15.75" customHeight="1" x14ac:dyDescent="0.15"/>
    <row r="51" spans="1:1" ht="15.75" customHeight="1" x14ac:dyDescent="0.15"/>
    <row r="52" spans="1:1" ht="15.75" customHeight="1" x14ac:dyDescent="0.15"/>
    <row r="53" spans="1:1" ht="15.75" customHeight="1" x14ac:dyDescent="0.15"/>
    <row r="54" spans="1:1" ht="15.75" customHeight="1" x14ac:dyDescent="0.15"/>
    <row r="55" spans="1:1" ht="15.75" customHeight="1" x14ac:dyDescent="0.15"/>
    <row r="56" spans="1:1" ht="15.75" customHeight="1" x14ac:dyDescent="0.15"/>
    <row r="57" spans="1:1" ht="15.75" customHeight="1" x14ac:dyDescent="0.15"/>
    <row r="58" spans="1:1" ht="15.75" customHeight="1" x14ac:dyDescent="0.15"/>
    <row r="59" spans="1:1" ht="15.75" customHeight="1" x14ac:dyDescent="0.15"/>
    <row r="60" spans="1:1" ht="15.75" customHeight="1" x14ac:dyDescent="0.15"/>
    <row r="61" spans="1:1" ht="15.75" customHeight="1" x14ac:dyDescent="0.15"/>
    <row r="62" spans="1:1" ht="15.75" customHeight="1" x14ac:dyDescent="0.15"/>
    <row r="63" spans="1:1" ht="15.75" customHeight="1" x14ac:dyDescent="0.15"/>
    <row r="64" spans="1:1" ht="15.75" customHeight="1" x14ac:dyDescent="0.15"/>
    <row r="65" spans="1:1" ht="15.75" customHeight="1" x14ac:dyDescent="0.15"/>
    <row r="66" spans="1:1" ht="15.75" customHeight="1" x14ac:dyDescent="0.15"/>
    <row r="67" spans="1:1" ht="15.75" customHeight="1" x14ac:dyDescent="0.15"/>
    <row r="68" spans="1:1" ht="15.75" customHeight="1" x14ac:dyDescent="0.15"/>
    <row r="69" spans="1:1" ht="15.75" customHeight="1" x14ac:dyDescent="0.15"/>
    <row r="70" spans="1:1" ht="15.75" customHeight="1" x14ac:dyDescent="0.15"/>
    <row r="71" spans="1:1" ht="15.75" customHeight="1" x14ac:dyDescent="0.15"/>
    <row r="72" spans="1:1" ht="15.75" customHeight="1" x14ac:dyDescent="0.15"/>
    <row r="73" spans="1:1" ht="15.75" customHeight="1" x14ac:dyDescent="0.15"/>
    <row r="74" spans="1:1" ht="15.75" customHeight="1" x14ac:dyDescent="0.15"/>
    <row r="75" spans="1:1" ht="15.75" customHeight="1" x14ac:dyDescent="0.15"/>
    <row r="76" spans="1:1" ht="15.75" customHeight="1" x14ac:dyDescent="0.15"/>
    <row r="77" spans="1:1" ht="15.75" customHeight="1" x14ac:dyDescent="0.15"/>
    <row r="78" spans="1:1" ht="15.75" customHeight="1" x14ac:dyDescent="0.15"/>
    <row r="79" spans="1:1" ht="15.75" customHeight="1" x14ac:dyDescent="0.15"/>
    <row r="80" spans="1:1" ht="15.75" customHeight="1" x14ac:dyDescent="0.15"/>
    <row r="81" spans="1:1" ht="15.75" customHeight="1" x14ac:dyDescent="0.15"/>
    <row r="82" spans="1:1" ht="15.75" customHeight="1" x14ac:dyDescent="0.15"/>
    <row r="83" spans="1:1" ht="15.75" customHeight="1" x14ac:dyDescent="0.15"/>
    <row r="84" spans="1:1" ht="15.75" customHeight="1" x14ac:dyDescent="0.15"/>
    <row r="85" spans="1:1" ht="15.75" customHeight="1" x14ac:dyDescent="0.15"/>
    <row r="86" spans="1:1" ht="15.75" customHeight="1" x14ac:dyDescent="0.15"/>
    <row r="87" spans="1:1" ht="15.75" customHeight="1" x14ac:dyDescent="0.15"/>
    <row r="88" spans="1:1" ht="15.75" customHeight="1" x14ac:dyDescent="0.15"/>
    <row r="89" spans="1:1" ht="15.75" customHeight="1" x14ac:dyDescent="0.15"/>
    <row r="90" spans="1:1" ht="15.75" customHeight="1" x14ac:dyDescent="0.15"/>
    <row r="91" spans="1:1" ht="15.75" customHeight="1" x14ac:dyDescent="0.15"/>
    <row r="92" spans="1:1" ht="15.75" customHeight="1" x14ac:dyDescent="0.15"/>
    <row r="93" spans="1:1" ht="15.75" customHeight="1" x14ac:dyDescent="0.15"/>
    <row r="94" spans="1:1" ht="15.75" customHeight="1" x14ac:dyDescent="0.15"/>
    <row r="95" spans="1:1" ht="15.75" customHeight="1" x14ac:dyDescent="0.15"/>
    <row r="96" spans="1:1" ht="15.75" customHeight="1" x14ac:dyDescent="0.15"/>
    <row r="97" spans="1:1" ht="15.75" customHeight="1" x14ac:dyDescent="0.15"/>
    <row r="98" spans="1:1" ht="15.75" customHeight="1" x14ac:dyDescent="0.15"/>
    <row r="99" spans="1:1" ht="15.75" customHeight="1" x14ac:dyDescent="0.15"/>
    <row r="100" spans="1:1" ht="15.75" customHeight="1" x14ac:dyDescent="0.15"/>
  </sheetData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X1051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" width="21.142857142857142" customWidth="1"/>
    <col min="2" max="2" width="32.285714285714285" customWidth="1"/>
    <col min="3" max="3" width="12.571428571428571" customWidth="1"/>
    <col min="4" max="4" width="25.142857142857142" customWidth="1"/>
    <col min="5" max="5" width="12.571428571428571" customWidth="1"/>
    <col min="6" max="6" width="20.0" customWidth="1"/>
    <col min="7" max="7" width="31.428571428571427" customWidth="1"/>
    <col min="8" max="8" width="21.428571428571427" customWidth="1"/>
    <col min="9" max="9" width="43.42857142857143" customWidth="1"/>
    <col min="10" max="24" width="12.571428571428571" customWidth="1"/>
  </cols>
  <sheetData>
    <row r="1" spans="1:10" ht="15.75" customHeight="1" x14ac:dyDescent="0.15">
      <c r="A1" s="17" t="s">
        <v>0</v>
      </c>
      <c r="B1" s="3" t="s">
        <v>1</v>
      </c>
      <c r="C1" s="3" t="s">
        <v>2</v>
      </c>
      <c r="D1" s="3" t="s">
        <v>31</v>
      </c>
      <c r="E1" s="3" t="s">
        <v>32</v>
      </c>
      <c r="F1" s="18" t="s">
        <v>4</v>
      </c>
      <c r="G1" s="18" t="s">
        <v>5</v>
      </c>
      <c r="H1" s="18" t="s">
        <v>6</v>
      </c>
      <c r="I1" s="18" t="s">
        <v>33</v>
      </c>
      <c r="J1" s="19" t="s">
        <v>8</v>
      </c>
    </row>
    <row r="2" spans="1:10" ht="15.75" customHeight="1" x14ac:dyDescent="0.15">
      <c r="A2" s="17">
        <v>46040.62306712963</v>
      </c>
      <c r="B2" s="3"/>
      <c r="C2" s="3"/>
      <c r="D2" s="3" t="s">
        <v>750</v>
      </c>
      <c r="E2" s="3" t="s">
        <v>35</v>
      </c>
      <c r="F2" s="18" t="s">
        <v>10</v>
      </c>
      <c r="G2" s="18" t="s">
        <v>36</v>
      </c>
      <c r="H2" s="18" t="s">
        <v>37</v>
      </c>
      <c r="I2" s="18" t="s">
        <v>12</v>
      </c>
      <c r="J2" s="19" t="s">
        <v>38</v>
      </c>
    </row>
    <row r="3" spans="1:10" ht="15.75" customHeight="1" x14ac:dyDescent="0.15">
      <c r="A3" s="17">
        <v>46040.65599537037</v>
      </c>
      <c r="B3" s="3" t="s">
        <v>751</v>
      </c>
      <c r="C3" s="3" t="s">
        <v>45</v>
      </c>
      <c r="D3" s="3" t="s">
        <v>752</v>
      </c>
      <c r="E3" s="3" t="s">
        <v>47</v>
      </c>
      <c r="F3" s="18" t="s">
        <v>753</v>
      </c>
      <c r="G3" s="18" t="s">
        <v>754</v>
      </c>
      <c r="H3" s="18">
        <v>3.1614540653E10</v>
      </c>
      <c r="I3" s="18">
        <v>6.14540653E8</v>
      </c>
      <c r="J3" s="19" t="s">
        <v>755</v>
      </c>
    </row>
    <row r="4" spans="1:10" ht="15.75" customHeight="1" x14ac:dyDescent="0.15">
      <c r="A4" s="17">
        <v>46040.76008101852</v>
      </c>
      <c r="B4" s="3" t="s">
        <v>751</v>
      </c>
      <c r="C4" s="3" t="s">
        <v>15</v>
      </c>
      <c r="D4" s="3" t="s">
        <v>756</v>
      </c>
      <c r="E4" s="3" t="s">
        <v>418</v>
      </c>
      <c r="F4" s="18" t="s">
        <v>757</v>
      </c>
      <c r="G4" s="18" t="s">
        <v>758</v>
      </c>
      <c r="H4" s="18">
        <v>4.53172415E9</v>
      </c>
      <c r="I4" s="18">
        <v>4.53117415E9</v>
      </c>
      <c r="J4" s="19" t="s">
        <v>759</v>
      </c>
    </row>
    <row r="5" spans="1:10" ht="15.75" customHeight="1" x14ac:dyDescent="0.15">
      <c r="A5" s="17">
        <v>46040.77644675926</v>
      </c>
      <c r="B5" s="3" t="s">
        <v>751</v>
      </c>
      <c r="C5" s="3" t="s">
        <v>15</v>
      </c>
      <c r="D5" s="3" t="s">
        <v>752</v>
      </c>
      <c r="E5" s="3" t="s">
        <v>47</v>
      </c>
      <c r="F5" s="18" t="s">
        <v>760</v>
      </c>
      <c r="G5" s="18" t="s">
        <v>761</v>
      </c>
      <c r="H5" s="18">
        <v>4.917610019197E12</v>
      </c>
      <c r="I5" s="18">
        <v>3.5262174741E11</v>
      </c>
      <c r="J5" s="19" t="s">
        <v>134</v>
      </c>
    </row>
    <row r="6" spans="1:10" ht="15.75" customHeight="1" x14ac:dyDescent="0.15">
      <c r="A6" s="17">
        <v>46041.37353009259</v>
      </c>
      <c r="B6" s="3" t="s">
        <v>751</v>
      </c>
      <c r="C6" s="3" t="s">
        <v>15</v>
      </c>
      <c r="D6" s="3" t="s">
        <v>756</v>
      </c>
      <c r="E6" s="3" t="s">
        <v>446</v>
      </c>
      <c r="F6" s="18" t="s">
        <v>762</v>
      </c>
      <c r="G6" s="18" t="s">
        <v>763</v>
      </c>
      <c r="H6" s="18">
        <v>3.6209997624E10</v>
      </c>
      <c r="I6" s="18">
        <v>3.6209997624E10</v>
      </c>
      <c r="J6" s="19" t="s">
        <v>764</v>
      </c>
    </row>
    <row r="7" spans="1:10" ht="15.75" customHeight="1" x14ac:dyDescent="0.15">
      <c r="A7" s="17">
        <v>46042.49041666667</v>
      </c>
      <c r="B7" s="3" t="s">
        <v>751</v>
      </c>
      <c r="C7" s="3" t="s">
        <v>15</v>
      </c>
      <c r="D7" s="3" t="s">
        <v>756</v>
      </c>
      <c r="E7" s="3" t="s">
        <v>47</v>
      </c>
      <c r="F7" s="18" t="s">
        <v>765</v>
      </c>
      <c r="G7" s="18" t="s">
        <v>766</v>
      </c>
      <c r="H7" s="18">
        <v>3.1621420616E10</v>
      </c>
      <c r="I7" s="18">
        <v>3.1621420916E10</v>
      </c>
      <c r="J7" s="19" t="s">
        <v>755</v>
      </c>
    </row>
    <row r="8" spans="1:10" ht="15.75" customHeight="1" x14ac:dyDescent="0.15">
      <c r="A8" s="17">
        <v>46042.75064814815</v>
      </c>
      <c r="B8" s="3" t="s">
        <v>751</v>
      </c>
      <c r="C8" s="3" t="s">
        <v>15</v>
      </c>
      <c r="D8" s="3" t="s">
        <v>767</v>
      </c>
      <c r="E8" s="3" t="s">
        <v>51</v>
      </c>
      <c r="F8" s="18" t="s">
        <v>768</v>
      </c>
      <c r="G8" s="18" t="s">
        <v>769</v>
      </c>
      <c r="H8" s="18">
        <v>3.6704216765E10</v>
      </c>
      <c r="I8" s="18">
        <v>3.6704216765E10</v>
      </c>
      <c r="J8" s="19" t="s">
        <v>109</v>
      </c>
    </row>
    <row r="9" spans="1:10" ht="15.75" customHeight="1" x14ac:dyDescent="0.15">
      <c r="A9" s="17">
        <v>46042.86355324074</v>
      </c>
      <c r="B9" s="3" t="s">
        <v>751</v>
      </c>
      <c r="C9" s="3" t="s">
        <v>15</v>
      </c>
      <c r="D9" s="3" t="s">
        <v>767</v>
      </c>
      <c r="E9" s="3" t="s">
        <v>51</v>
      </c>
      <c r="F9" s="18" t="s">
        <v>770</v>
      </c>
      <c r="G9" s="18" t="s">
        <v>771</v>
      </c>
      <c r="H9" s="18">
        <v>4.91708632372E11</v>
      </c>
      <c r="I9" s="18">
        <v>4.91708632372E11</v>
      </c>
      <c r="J9" s="19" t="s">
        <v>764</v>
      </c>
    </row>
    <row r="10" spans="1:10" ht="15.75" customHeight="1" x14ac:dyDescent="0.15">
      <c r="A10" s="17">
        <v>46042.89695601852</v>
      </c>
      <c r="B10" s="3" t="s">
        <v>751</v>
      </c>
      <c r="C10" s="3" t="s">
        <v>45</v>
      </c>
      <c r="D10" s="3" t="s">
        <v>756</v>
      </c>
      <c r="E10" s="3" t="s">
        <v>47</v>
      </c>
      <c r="F10" s="18" t="s">
        <v>772</v>
      </c>
      <c r="G10" s="18" t="s">
        <v>773</v>
      </c>
      <c r="H10" s="18">
        <v>4.47925661029E11</v>
      </c>
      <c r="I10" s="18">
        <v>4.47925661029E11</v>
      </c>
      <c r="J10" s="19" t="s">
        <v>100</v>
      </c>
    </row>
    <row r="11" spans="1:10" ht="15.75" customHeight="1" x14ac:dyDescent="0.15">
      <c r="A11" s="17">
        <v>46044.63064814815</v>
      </c>
      <c r="B11" s="3" t="s">
        <v>751</v>
      </c>
      <c r="C11" s="3" t="s">
        <v>45</v>
      </c>
      <c r="D11" s="3" t="s">
        <v>767</v>
      </c>
      <c r="E11" s="3" t="s">
        <v>51</v>
      </c>
      <c r="F11" s="18" t="s">
        <v>774</v>
      </c>
      <c r="G11" s="18" t="s">
        <v>775</v>
      </c>
      <c r="H11" s="18">
        <v>3.6705402528E10</v>
      </c>
      <c r="I11" s="18">
        <v>0.0</v>
      </c>
      <c r="J11" s="19" t="s">
        <v>109</v>
      </c>
    </row>
    <row r="12" spans="1:10" ht="15.75" customHeight="1" x14ac:dyDescent="0.15">
      <c r="A12" s="17">
        <v>46045.2797337963</v>
      </c>
      <c r="B12" s="3" t="s">
        <v>751</v>
      </c>
      <c r="C12" s="3" t="s">
        <v>15</v>
      </c>
      <c r="D12" s="3" t="s">
        <v>756</v>
      </c>
      <c r="E12" s="3" t="s">
        <v>47</v>
      </c>
      <c r="F12" s="18" t="s">
        <v>776</v>
      </c>
      <c r="G12" s="18" t="s">
        <v>777</v>
      </c>
      <c r="H12" s="18">
        <v>3.6706069837E10</v>
      </c>
      <c r="I12" s="18">
        <v>3.6706069837E10</v>
      </c>
      <c r="J12" s="19" t="s">
        <v>109</v>
      </c>
    </row>
    <row r="13" spans="1:10" ht="15.75" customHeight="1" x14ac:dyDescent="0.15">
      <c r="A13" s="17">
        <v>46045.465625</v>
      </c>
      <c r="B13" s="3" t="s">
        <v>751</v>
      </c>
      <c r="C13" s="3" t="s">
        <v>15</v>
      </c>
      <c r="D13" s="3" t="s">
        <v>756</v>
      </c>
      <c r="E13" s="3" t="s">
        <v>51</v>
      </c>
      <c r="F13" s="18" t="s">
        <v>778</v>
      </c>
      <c r="G13" s="18" t="s">
        <v>779</v>
      </c>
      <c r="H13" s="18">
        <v>3.52621184688E11</v>
      </c>
      <c r="I13" s="18">
        <v>3.52621184688E11</v>
      </c>
      <c r="J13" s="19" t="s">
        <v>484</v>
      </c>
    </row>
    <row r="14" spans="1:10" ht="15.75" customHeight="1" x14ac:dyDescent="0.15">
      <c r="A14" s="17">
        <v>46045.871875</v>
      </c>
      <c r="B14" s="3" t="s">
        <v>751</v>
      </c>
      <c r="C14" s="3" t="s">
        <v>15</v>
      </c>
      <c r="D14" s="3" t="s">
        <v>780</v>
      </c>
      <c r="E14" s="3" t="s">
        <v>51</v>
      </c>
      <c r="F14" s="18" t="s">
        <v>781</v>
      </c>
      <c r="G14" s="18" t="s">
        <v>782</v>
      </c>
      <c r="H14" s="18">
        <v>3.1653395568E10</v>
      </c>
      <c r="I14" s="18">
        <v>3.1653395568E10</v>
      </c>
      <c r="J14" s="19" t="s">
        <v>755</v>
      </c>
    </row>
    <row r="15" spans="1:24" ht="15.75" customHeight="1" x14ac:dyDescent="0.15">
      <c r="A15" s="20">
        <v>46045.933125</v>
      </c>
      <c r="B15" s="13" t="s">
        <v>751</v>
      </c>
      <c r="C15" s="13" t="s">
        <v>15</v>
      </c>
      <c r="D15" s="13" t="s">
        <v>756</v>
      </c>
      <c r="E15" s="13" t="s">
        <v>418</v>
      </c>
      <c r="F15" s="21" t="s">
        <v>783</v>
      </c>
      <c r="G15" s="21" t="s">
        <v>784</v>
      </c>
      <c r="H15" s="21">
        <v>3.6205073701E10</v>
      </c>
      <c r="I15" s="21">
        <v>3.6205073701E10</v>
      </c>
      <c r="J15" s="22" t="s">
        <v>109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10" ht="15.75" customHeight="1" x14ac:dyDescent="0.15">
      <c r="A16" s="17">
        <v>46046.293703703705</v>
      </c>
      <c r="B16" s="3" t="s">
        <v>751</v>
      </c>
      <c r="C16" s="3" t="s">
        <v>15</v>
      </c>
      <c r="D16" s="3" t="s">
        <v>752</v>
      </c>
      <c r="E16" s="3" t="s">
        <v>446</v>
      </c>
      <c r="F16" s="18" t="s">
        <v>785</v>
      </c>
      <c r="G16" s="18" t="s">
        <v>786</v>
      </c>
      <c r="H16" s="18">
        <v>9.71556335263E11</v>
      </c>
      <c r="I16" s="18">
        <v>9.71556335263E11</v>
      </c>
      <c r="J16" s="19" t="s">
        <v>44</v>
      </c>
    </row>
    <row r="17" spans="1:24" ht="15.75" customHeight="1" x14ac:dyDescent="0.15">
      <c r="A17" s="23">
        <v>46046.35634259259</v>
      </c>
      <c r="B17" s="7" t="s">
        <v>751</v>
      </c>
      <c r="C17" s="7" t="s">
        <v>45</v>
      </c>
      <c r="D17" s="7" t="s">
        <v>752</v>
      </c>
      <c r="E17" s="7" t="s">
        <v>51</v>
      </c>
      <c r="F17" s="24" t="s">
        <v>787</v>
      </c>
      <c r="G17" s="24" t="s">
        <v>788</v>
      </c>
      <c r="H17" s="24">
        <v>4.6730290323E10</v>
      </c>
      <c r="I17" s="24">
        <v>4.6730290323E10</v>
      </c>
      <c r="J17" s="25" t="s">
        <v>789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10" ht="15.75" customHeight="1" x14ac:dyDescent="0.15">
      <c r="A18" s="17">
        <v>46046.603310185186</v>
      </c>
      <c r="B18" s="3" t="s">
        <v>751</v>
      </c>
      <c r="C18" s="3" t="s">
        <v>45</v>
      </c>
      <c r="D18" s="3" t="s">
        <v>780</v>
      </c>
      <c r="E18" s="3" t="s">
        <v>51</v>
      </c>
      <c r="F18" s="18" t="s">
        <v>790</v>
      </c>
      <c r="G18" s="18" t="s">
        <v>791</v>
      </c>
      <c r="H18" s="18">
        <v>3.376940676E10</v>
      </c>
      <c r="I18" s="18">
        <v>3.3769406767E10</v>
      </c>
      <c r="J18" s="19" t="s">
        <v>484</v>
      </c>
    </row>
    <row r="19" spans="1:10" ht="15.75" customHeight="1" x14ac:dyDescent="0.15">
      <c r="A19" s="17">
        <v>46046.612233796295</v>
      </c>
      <c r="B19" s="3" t="s">
        <v>751</v>
      </c>
      <c r="C19" s="3" t="s">
        <v>15</v>
      </c>
      <c r="D19" s="3" t="s">
        <v>780</v>
      </c>
      <c r="E19" s="3" t="s">
        <v>446</v>
      </c>
      <c r="F19" s="18" t="s">
        <v>792</v>
      </c>
      <c r="G19" s="18" t="s">
        <v>793</v>
      </c>
      <c r="H19" s="18">
        <v>4.47853570465E11</v>
      </c>
      <c r="I19" s="18">
        <v>4.47853570465E11</v>
      </c>
      <c r="J19" s="19" t="s">
        <v>100</v>
      </c>
    </row>
    <row r="20" spans="1:10" ht="15.75" customHeight="1" x14ac:dyDescent="0.15">
      <c r="A20" s="17">
        <v>46046.684525462966</v>
      </c>
      <c r="B20" s="3" t="s">
        <v>751</v>
      </c>
      <c r="C20" s="3" t="s">
        <v>45</v>
      </c>
      <c r="D20" s="3" t="s">
        <v>752</v>
      </c>
      <c r="E20" s="3" t="s">
        <v>41</v>
      </c>
      <c r="F20" s="18" t="s">
        <v>794</v>
      </c>
      <c r="G20" s="18" t="s">
        <v>795</v>
      </c>
      <c r="H20" s="18">
        <v>4.369919675599E12</v>
      </c>
      <c r="I20" s="18">
        <v>0.0</v>
      </c>
      <c r="J20" s="19" t="s">
        <v>796</v>
      </c>
    </row>
    <row r="21" spans="1:10" ht="15.75" customHeight="1" x14ac:dyDescent="0.15">
      <c r="A21" s="17">
        <v>46046.73971064815</v>
      </c>
      <c r="B21" s="3" t="s">
        <v>751</v>
      </c>
      <c r="C21" s="3" t="s">
        <v>15</v>
      </c>
      <c r="D21" s="3" t="s">
        <v>752</v>
      </c>
      <c r="E21" s="3" t="s">
        <v>446</v>
      </c>
      <c r="F21" s="18" t="s">
        <v>797</v>
      </c>
      <c r="G21" s="18" t="s">
        <v>798</v>
      </c>
      <c r="H21" s="18">
        <v>4.528911032E9</v>
      </c>
      <c r="I21" s="18">
        <v>4.528911051E9</v>
      </c>
      <c r="J21" s="19" t="s">
        <v>759</v>
      </c>
    </row>
    <row r="22" spans="1:10" ht="15.75" customHeight="1" x14ac:dyDescent="0.15">
      <c r="A22" s="17">
        <v>46046.8862037037</v>
      </c>
      <c r="B22" s="3" t="s">
        <v>751</v>
      </c>
      <c r="C22" s="3" t="s">
        <v>45</v>
      </c>
      <c r="D22" s="3" t="s">
        <v>767</v>
      </c>
      <c r="E22" s="3" t="s">
        <v>446</v>
      </c>
      <c r="F22" s="18" t="s">
        <v>799</v>
      </c>
      <c r="G22" s="18" t="s">
        <v>800</v>
      </c>
      <c r="H22" s="18">
        <v>6.12810404E8</v>
      </c>
      <c r="I22" s="18">
        <v>61.0</v>
      </c>
      <c r="J22" s="19" t="s">
        <v>89</v>
      </c>
    </row>
    <row r="23" spans="1:10" ht="15.75" customHeight="1" x14ac:dyDescent="0.15">
      <c r="A23" s="17">
        <v>46047.673159722224</v>
      </c>
      <c r="B23" s="3" t="s">
        <v>751</v>
      </c>
      <c r="C23" s="3" t="s">
        <v>15</v>
      </c>
      <c r="D23" s="3" t="s">
        <v>767</v>
      </c>
      <c r="E23" s="3" t="s">
        <v>446</v>
      </c>
      <c r="F23" s="18" t="s">
        <v>801</v>
      </c>
      <c r="G23" s="18" t="s">
        <v>802</v>
      </c>
      <c r="H23" s="18">
        <v>4.47985177239E11</v>
      </c>
      <c r="I23" s="18">
        <v>4.47985177239E11</v>
      </c>
      <c r="J23" s="19" t="s">
        <v>323</v>
      </c>
    </row>
    <row r="24" spans="1:10" ht="15.75" customHeight="1" x14ac:dyDescent="0.15">
      <c r="A24" s="17">
        <v>46047.87725694444</v>
      </c>
      <c r="B24" s="3" t="s">
        <v>751</v>
      </c>
      <c r="C24" s="3" t="s">
        <v>45</v>
      </c>
      <c r="D24" s="3" t="s">
        <v>767</v>
      </c>
      <c r="E24" s="3" t="s">
        <v>418</v>
      </c>
      <c r="F24" s="18" t="s">
        <v>803</v>
      </c>
      <c r="G24" s="18" t="s">
        <v>804</v>
      </c>
      <c r="H24" s="18">
        <v>2.1351344908E10</v>
      </c>
      <c r="I24" s="18">
        <v>4.551344908E9</v>
      </c>
      <c r="J24" s="19" t="s">
        <v>759</v>
      </c>
    </row>
    <row r="25" spans="1:10" ht="15.75" customHeight="1" x14ac:dyDescent="0.15">
      <c r="A25" s="17">
        <v>46047.93444444444</v>
      </c>
      <c r="B25" s="3" t="s">
        <v>751</v>
      </c>
      <c r="C25" s="3" t="s">
        <v>15</v>
      </c>
      <c r="D25" s="3" t="s">
        <v>756</v>
      </c>
      <c r="E25" s="3" t="s">
        <v>47</v>
      </c>
      <c r="F25" s="18" t="s">
        <v>805</v>
      </c>
      <c r="G25" s="18" t="s">
        <v>806</v>
      </c>
      <c r="H25" s="18">
        <v>4.91775043599E11</v>
      </c>
      <c r="I25" s="18">
        <v>4.91775043599E11</v>
      </c>
      <c r="J25" s="19" t="s">
        <v>764</v>
      </c>
    </row>
    <row r="26" spans="1:10" ht="15.75" customHeight="1" x14ac:dyDescent="0.15">
      <c r="A26" s="17">
        <v>46048.23048611111</v>
      </c>
      <c r="B26" s="3" t="s">
        <v>751</v>
      </c>
      <c r="C26" s="3" t="s">
        <v>45</v>
      </c>
      <c r="D26" s="3" t="s">
        <v>756</v>
      </c>
      <c r="E26" s="3" t="s">
        <v>446</v>
      </c>
      <c r="F26" s="18" t="s">
        <v>807</v>
      </c>
      <c r="G26" s="18" t="s">
        <v>808</v>
      </c>
      <c r="H26" s="18">
        <v>3.6306946459E10</v>
      </c>
      <c r="I26" s="18">
        <v>12345.0</v>
      </c>
      <c r="J26" s="19" t="s">
        <v>109</v>
      </c>
    </row>
    <row r="27" spans="1:10" ht="15.75" customHeight="1" x14ac:dyDescent="0.15">
      <c r="A27" s="17">
        <v>46048.54383101852</v>
      </c>
      <c r="B27" s="3" t="s">
        <v>751</v>
      </c>
      <c r="C27" s="3" t="s">
        <v>809</v>
      </c>
      <c r="D27" s="3" t="s">
        <v>767</v>
      </c>
      <c r="E27" s="3" t="s">
        <v>418</v>
      </c>
      <c r="F27" s="18" t="s">
        <v>810</v>
      </c>
      <c r="G27" s="18" t="s">
        <v>811</v>
      </c>
      <c r="H27" s="18">
        <v>3.620223467E10</v>
      </c>
      <c r="I27" s="18">
        <v>3.620223467E10</v>
      </c>
      <c r="J27" s="19" t="s">
        <v>109</v>
      </c>
    </row>
    <row r="28" spans="1:10" ht="15.75" customHeight="1" x14ac:dyDescent="0.15">
      <c r="A28" s="17">
        <v>46048.88569444444</v>
      </c>
      <c r="B28" s="3" t="s">
        <v>751</v>
      </c>
      <c r="C28" s="3" t="s">
        <v>15</v>
      </c>
      <c r="D28" s="3" t="s">
        <v>752</v>
      </c>
      <c r="E28" s="3" t="s">
        <v>51</v>
      </c>
      <c r="F28" s="18" t="s">
        <v>812</v>
      </c>
      <c r="G28" s="18" t="s">
        <v>813</v>
      </c>
      <c r="H28" s="18">
        <v>4.47598480719E11</v>
      </c>
      <c r="I28" s="18">
        <v>4.47598480719E11</v>
      </c>
      <c r="J28" s="19" t="s">
        <v>100</v>
      </c>
    </row>
    <row r="29" spans="1:10" ht="15.75" customHeight="1" x14ac:dyDescent="0.15">
      <c r="A29" s="17">
        <v>46048.91792824074</v>
      </c>
      <c r="B29" s="3" t="s">
        <v>751</v>
      </c>
      <c r="C29" s="3" t="s">
        <v>15</v>
      </c>
      <c r="D29" s="3" t="s">
        <v>24</v>
      </c>
      <c r="E29" s="3" t="s">
        <v>47</v>
      </c>
      <c r="F29" s="18" t="s">
        <v>814</v>
      </c>
      <c r="G29" s="18" t="s">
        <v>815</v>
      </c>
      <c r="H29" s="18">
        <v>3.6707714224E10</v>
      </c>
      <c r="I29" s="18">
        <v>3.6707714224E10</v>
      </c>
      <c r="J29" s="19" t="s">
        <v>109</v>
      </c>
    </row>
    <row r="30" spans="1:10" ht="15.75" customHeight="1" x14ac:dyDescent="0.15">
      <c r="A30" s="17">
        <v>46049.48195601852</v>
      </c>
      <c r="B30" s="3" t="s">
        <v>751</v>
      </c>
      <c r="C30" s="3" t="s">
        <v>15</v>
      </c>
      <c r="D30" s="3" t="s">
        <v>780</v>
      </c>
      <c r="E30" s="3" t="s">
        <v>47</v>
      </c>
      <c r="F30" s="18" t="s">
        <v>816</v>
      </c>
      <c r="G30" s="18" t="s">
        <v>817</v>
      </c>
      <c r="H30" s="18">
        <v>4.47875752903E11</v>
      </c>
      <c r="I30" s="18">
        <v>4.47875752903E11</v>
      </c>
      <c r="J30" s="19" t="s">
        <v>100</v>
      </c>
    </row>
    <row r="31" spans="1:10" ht="15.75" customHeight="1" x14ac:dyDescent="0.15">
      <c r="A31" s="17">
        <v>46049.48386574074</v>
      </c>
      <c r="B31" s="3" t="s">
        <v>751</v>
      </c>
      <c r="C31" s="3" t="s">
        <v>809</v>
      </c>
      <c r="D31" s="3" t="s">
        <v>756</v>
      </c>
      <c r="E31" s="3" t="s">
        <v>446</v>
      </c>
      <c r="F31" s="18" t="s">
        <v>818</v>
      </c>
      <c r="G31" s="18" t="s">
        <v>819</v>
      </c>
      <c r="H31" s="18">
        <v>3.6703579867E10</v>
      </c>
      <c r="I31" s="18">
        <v>3.6301543854E10</v>
      </c>
      <c r="J31" s="19" t="s">
        <v>820</v>
      </c>
    </row>
    <row r="32" spans="1:10" ht="15.75" customHeight="1" x14ac:dyDescent="0.15">
      <c r="A32" s="17">
        <v>46049.681122685186</v>
      </c>
      <c r="B32" s="3" t="s">
        <v>751</v>
      </c>
      <c r="C32" s="3" t="s">
        <v>15</v>
      </c>
      <c r="D32" s="3" t="s">
        <v>752</v>
      </c>
      <c r="E32" s="3" t="s">
        <v>47</v>
      </c>
      <c r="F32" s="18" t="s">
        <v>821</v>
      </c>
      <c r="G32" s="18" t="s">
        <v>822</v>
      </c>
      <c r="H32" s="18">
        <v>4.540959595E9</v>
      </c>
      <c r="I32" s="18">
        <v>4.540959595E9</v>
      </c>
      <c r="J32" s="19" t="s">
        <v>89</v>
      </c>
    </row>
    <row r="33" spans="1:10" ht="15.75" customHeight="1" x14ac:dyDescent="0.15">
      <c r="A33" s="17">
        <v>46049.702881944446</v>
      </c>
      <c r="B33" s="3" t="s">
        <v>751</v>
      </c>
      <c r="C33" s="3" t="s">
        <v>15</v>
      </c>
      <c r="D33" s="3" t="s">
        <v>756</v>
      </c>
      <c r="E33" s="3" t="s">
        <v>51</v>
      </c>
      <c r="F33" s="18" t="s">
        <v>823</v>
      </c>
      <c r="G33" s="18" t="s">
        <v>824</v>
      </c>
      <c r="H33" s="18">
        <v>3.52691612563E11</v>
      </c>
      <c r="I33" s="18">
        <v>3.52691612567E11</v>
      </c>
      <c r="J33" s="19" t="s">
        <v>484</v>
      </c>
    </row>
    <row r="34" spans="1:10" ht="15.75" customHeight="1" x14ac:dyDescent="0.15">
      <c r="A34" s="17">
        <v>46049.77946759259</v>
      </c>
      <c r="B34" s="3" t="s">
        <v>751</v>
      </c>
      <c r="C34" s="3" t="s">
        <v>15</v>
      </c>
      <c r="D34" s="3" t="s">
        <v>767</v>
      </c>
      <c r="E34" s="3" t="s">
        <v>47</v>
      </c>
      <c r="F34" s="18" t="s">
        <v>825</v>
      </c>
      <c r="G34" s="18" t="s">
        <v>826</v>
      </c>
      <c r="H34" s="18">
        <v>4.4788673247E11</v>
      </c>
      <c r="I34" s="18">
        <v>4.4788676247E11</v>
      </c>
      <c r="J34" s="19" t="s">
        <v>100</v>
      </c>
    </row>
    <row r="35" spans="1:24" ht="15.75" customHeight="1" x14ac:dyDescent="0.15">
      <c r="A35" s="26">
        <v>46050.72363425926</v>
      </c>
      <c r="B35" s="27"/>
      <c r="C35" s="27"/>
      <c r="D35" s="27" t="s">
        <v>827</v>
      </c>
      <c r="E35" s="27"/>
      <c r="F35" s="28" t="s">
        <v>4</v>
      </c>
      <c r="G35" s="28" t="s">
        <v>11</v>
      </c>
      <c r="H35" s="28" t="s">
        <v>6</v>
      </c>
      <c r="I35" s="28" t="s">
        <v>828</v>
      </c>
      <c r="J35" s="29" t="s">
        <v>8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 ht="15.75" customHeight="1" x14ac:dyDescent="0.15">
      <c r="A36" s="31">
        <v>46050.872615740744</v>
      </c>
      <c r="B36" s="32" t="s">
        <v>829</v>
      </c>
      <c r="C36" s="32" t="s">
        <v>45</v>
      </c>
      <c r="D36" s="32" t="s">
        <v>756</v>
      </c>
      <c r="E36" s="32"/>
      <c r="F36" s="33" t="s">
        <v>830</v>
      </c>
      <c r="G36" s="33" t="s">
        <v>831</v>
      </c>
      <c r="H36" s="33">
        <v>5.04583225E8</v>
      </c>
      <c r="I36" s="33">
        <v>5.04583225E8</v>
      </c>
      <c r="J36" s="34" t="s">
        <v>57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ht="15.75" customHeight="1" x14ac:dyDescent="0.15">
      <c r="A37" s="31">
        <v>46050.87365740741</v>
      </c>
      <c r="B37" s="32" t="s">
        <v>829</v>
      </c>
      <c r="C37" s="32" t="s">
        <v>15</v>
      </c>
      <c r="D37" s="32" t="s">
        <v>756</v>
      </c>
      <c r="E37" s="32"/>
      <c r="F37" s="33" t="s">
        <v>832</v>
      </c>
      <c r="G37" s="33" t="s">
        <v>833</v>
      </c>
      <c r="H37" s="33">
        <v>3.249888033E10</v>
      </c>
      <c r="I37" s="33">
        <v>3.22743038E9</v>
      </c>
      <c r="J37" s="34" t="s">
        <v>834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ht="15.75" customHeight="1" x14ac:dyDescent="0.15">
      <c r="A38" s="31">
        <v>46051.7319212963</v>
      </c>
      <c r="B38" s="32" t="s">
        <v>829</v>
      </c>
      <c r="C38" s="32" t="s">
        <v>45</v>
      </c>
      <c r="D38" s="32" t="s">
        <v>752</v>
      </c>
      <c r="E38" s="32"/>
      <c r="F38" s="33" t="s">
        <v>835</v>
      </c>
      <c r="G38" s="33" t="s">
        <v>836</v>
      </c>
      <c r="H38" s="33">
        <v>623556.0</v>
      </c>
      <c r="I38" s="33">
        <v>533265.0</v>
      </c>
      <c r="J38" s="34" t="s">
        <v>89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1:24" ht="15.75" customHeight="1" x14ac:dyDescent="0.15">
      <c r="A39" s="31">
        <v>46052.711539351854</v>
      </c>
      <c r="B39" s="32" t="s">
        <v>829</v>
      </c>
      <c r="C39" s="32" t="s">
        <v>15</v>
      </c>
      <c r="D39" s="32" t="s">
        <v>756</v>
      </c>
      <c r="E39" s="32"/>
      <c r="F39" s="33" t="s">
        <v>837</v>
      </c>
      <c r="G39" s="33" t="s">
        <v>838</v>
      </c>
      <c r="H39" s="33">
        <v>9.71508321277E11</v>
      </c>
      <c r="I39" s="33">
        <v>9.71508321277E11</v>
      </c>
      <c r="J39" s="34" t="s">
        <v>44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spans="1:24" ht="15.75" customHeight="1" x14ac:dyDescent="0.15">
      <c r="A40" s="31">
        <v>46052.869375</v>
      </c>
      <c r="B40" s="32" t="s">
        <v>829</v>
      </c>
      <c r="C40" s="32" t="s">
        <v>45</v>
      </c>
      <c r="D40" s="32" t="s">
        <v>24</v>
      </c>
      <c r="E40" s="32"/>
      <c r="F40" s="33" t="s">
        <v>839</v>
      </c>
      <c r="G40" s="33" t="s">
        <v>840</v>
      </c>
      <c r="H40" s="33">
        <v>9.71529453573E11</v>
      </c>
      <c r="I40" s="33">
        <v>9.71529453573E11</v>
      </c>
      <c r="J40" s="34" t="s">
        <v>89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1:24" ht="15.75" customHeight="1" x14ac:dyDescent="0.15">
      <c r="A41" s="31">
        <v>46053.40001157407</v>
      </c>
      <c r="B41" s="32" t="s">
        <v>829</v>
      </c>
      <c r="C41" s="32" t="s">
        <v>45</v>
      </c>
      <c r="D41" s="32" t="s">
        <v>756</v>
      </c>
      <c r="E41" s="32"/>
      <c r="F41" s="33" t="s">
        <v>841</v>
      </c>
      <c r="G41" s="33" t="s">
        <v>842</v>
      </c>
      <c r="H41" s="33">
        <v>9.71501248283E11</v>
      </c>
      <c r="I41" s="33">
        <v>9.71501248283E11</v>
      </c>
      <c r="J41" s="34" t="s">
        <v>44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spans="1:24" ht="15.75" customHeight="1" x14ac:dyDescent="0.15">
      <c r="A42" s="31">
        <v>46054.025509259256</v>
      </c>
      <c r="B42" s="32" t="s">
        <v>829</v>
      </c>
      <c r="C42" s="32" t="s">
        <v>15</v>
      </c>
      <c r="D42" s="32" t="s">
        <v>24</v>
      </c>
      <c r="E42" s="32"/>
      <c r="F42" s="33" t="s">
        <v>843</v>
      </c>
      <c r="G42" s="33" t="s">
        <v>844</v>
      </c>
      <c r="H42" s="33">
        <v>2.01065308437E11</v>
      </c>
      <c r="I42" s="33">
        <v>2.01065308437E11</v>
      </c>
      <c r="J42" s="34" t="s">
        <v>194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spans="1:24" ht="15.75" customHeight="1" x14ac:dyDescent="0.15">
      <c r="A43" s="31">
        <v>46054.57990740741</v>
      </c>
      <c r="B43" s="32" t="s">
        <v>829</v>
      </c>
      <c r="C43" s="32" t="s">
        <v>15</v>
      </c>
      <c r="D43" s="32" t="s">
        <v>756</v>
      </c>
      <c r="E43" s="32"/>
      <c r="F43" s="33" t="s">
        <v>845</v>
      </c>
      <c r="G43" s="33" t="s">
        <v>846</v>
      </c>
      <c r="H43" s="33">
        <v>9.71542862093E11</v>
      </c>
      <c r="I43" s="33">
        <v>9.711648333181E12</v>
      </c>
      <c r="J43" s="34" t="s">
        <v>44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 spans="1:24" ht="15.75" customHeight="1" x14ac:dyDescent="0.15">
      <c r="A44" s="31">
        <v>46055.523935185185</v>
      </c>
      <c r="B44" s="32" t="s">
        <v>829</v>
      </c>
      <c r="C44" s="32" t="s">
        <v>15</v>
      </c>
      <c r="D44" s="32" t="s">
        <v>767</v>
      </c>
      <c r="E44" s="32"/>
      <c r="F44" s="33" t="s">
        <v>847</v>
      </c>
      <c r="G44" s="33" t="s">
        <v>848</v>
      </c>
      <c r="H44" s="33">
        <v>2.61340390332E11</v>
      </c>
      <c r="I44" s="33">
        <v>2.610340390332E12</v>
      </c>
      <c r="J44" s="34" t="s">
        <v>134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spans="1:24" ht="15.75" customHeight="1" x14ac:dyDescent="0.15">
      <c r="A45" s="31">
        <v>46055.54505787037</v>
      </c>
      <c r="B45" s="32" t="s">
        <v>829</v>
      </c>
      <c r="C45" s="32" t="s">
        <v>15</v>
      </c>
      <c r="D45" s="32" t="s">
        <v>756</v>
      </c>
      <c r="E45" s="32"/>
      <c r="F45" s="33" t="s">
        <v>849</v>
      </c>
      <c r="G45" s="33" t="s">
        <v>850</v>
      </c>
      <c r="H45" s="33">
        <v>9.71554082741E11</v>
      </c>
      <c r="I45" s="33">
        <v>9.71554082741E11</v>
      </c>
      <c r="J45" s="34" t="s">
        <v>593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spans="1:24" ht="15.75" customHeight="1" x14ac:dyDescent="0.15">
      <c r="A46" s="31">
        <v>46055.60230324074</v>
      </c>
      <c r="B46" s="32" t="s">
        <v>829</v>
      </c>
      <c r="C46" s="32" t="s">
        <v>15</v>
      </c>
      <c r="D46" s="32" t="s">
        <v>756</v>
      </c>
      <c r="E46" s="32"/>
      <c r="F46" s="33" t="s">
        <v>851</v>
      </c>
      <c r="G46" s="33" t="s">
        <v>852</v>
      </c>
      <c r="H46" s="33">
        <v>2.49990807437E11</v>
      </c>
      <c r="I46" s="33">
        <v>2.49990807437E11</v>
      </c>
      <c r="J46" s="34" t="s">
        <v>89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1:24" ht="15.75" customHeight="1" x14ac:dyDescent="0.15">
      <c r="A47" s="31">
        <v>46055.61268518519</v>
      </c>
      <c r="B47" s="32" t="s">
        <v>829</v>
      </c>
      <c r="C47" s="32" t="s">
        <v>15</v>
      </c>
      <c r="D47" s="32" t="s">
        <v>756</v>
      </c>
      <c r="E47" s="32"/>
      <c r="F47" s="33" t="s">
        <v>853</v>
      </c>
      <c r="G47" s="33" t="s">
        <v>854</v>
      </c>
      <c r="H47" s="33">
        <v>9.18935894135E11</v>
      </c>
      <c r="I47" s="33">
        <v>9.18935894135E11</v>
      </c>
      <c r="J47" s="34" t="s">
        <v>89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spans="1:24" ht="15.75" customHeight="1" x14ac:dyDescent="0.15">
      <c r="A48" s="31">
        <v>46055.85135416667</v>
      </c>
      <c r="B48" s="32" t="s">
        <v>829</v>
      </c>
      <c r="C48" s="32" t="s">
        <v>15</v>
      </c>
      <c r="D48" s="32" t="s">
        <v>24</v>
      </c>
      <c r="E48" s="32"/>
      <c r="F48" s="33" t="s">
        <v>855</v>
      </c>
      <c r="G48" s="33" t="s">
        <v>856</v>
      </c>
      <c r="H48" s="33">
        <v>9.71551070366E11</v>
      </c>
      <c r="I48" s="33">
        <v>9.71551070366E11</v>
      </c>
      <c r="J48" s="34" t="s">
        <v>89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spans="1:10" ht="15.75" customHeight="1" x14ac:dyDescent="0.15">
      <c r="A49" s="36" t="s">
        <v>0</v>
      </c>
      <c r="B49" s="37" t="s">
        <v>1</v>
      </c>
      <c r="C49" s="37" t="s">
        <v>2</v>
      </c>
      <c r="D49" s="37" t="s">
        <v>857</v>
      </c>
      <c r="F49" s="37" t="s">
        <v>4</v>
      </c>
      <c r="G49" s="37" t="s">
        <v>5</v>
      </c>
      <c r="H49" s="36" t="s">
        <v>6</v>
      </c>
      <c r="I49" s="36" t="s">
        <v>858</v>
      </c>
      <c r="J49" s="37" t="s">
        <v>8</v>
      </c>
    </row>
    <row r="50" spans="1:10" ht="15.75" customHeight="1" x14ac:dyDescent="0.15">
      <c r="A50" s="17">
        <v>46059.0</v>
      </c>
      <c r="B50" s="18" t="s">
        <v>829</v>
      </c>
      <c r="C50" s="18" t="s">
        <v>15</v>
      </c>
      <c r="D50" s="18" t="s">
        <v>859</v>
      </c>
      <c r="F50" s="18" t="s">
        <v>860</v>
      </c>
      <c r="G50" s="18" t="s">
        <v>861</v>
      </c>
      <c r="H50" s="18" t="s">
        <f>971508853242</f>
        <v>862</v>
      </c>
      <c r="I50" s="18" t="s">
        <f>971508853242</f>
        <v>862</v>
      </c>
      <c r="J50" s="18" t="s">
        <v>565</v>
      </c>
    </row>
    <row r="51" spans="1:10" ht="15.75" customHeight="1" x14ac:dyDescent="0.15">
      <c r="A51" s="17">
        <v>46058.0</v>
      </c>
      <c r="B51" s="18" t="s">
        <v>829</v>
      </c>
      <c r="C51" s="18" t="s">
        <v>15</v>
      </c>
      <c r="D51" s="18" t="s">
        <v>859</v>
      </c>
      <c r="F51" s="18" t="s">
        <v>863</v>
      </c>
      <c r="G51" s="18" t="s">
        <v>864</v>
      </c>
      <c r="H51" s="18" t="s">
        <f>971509929370</f>
        <v>865</v>
      </c>
      <c r="I51" s="18" t="s">
        <f>971509929370</f>
        <v>865</v>
      </c>
      <c r="J51" s="18" t="s">
        <v>44</v>
      </c>
    </row>
    <row r="52" spans="1:10" ht="15.75" customHeight="1" x14ac:dyDescent="0.15">
      <c r="A52" s="17">
        <v>46058.0</v>
      </c>
      <c r="B52" s="18" t="s">
        <v>829</v>
      </c>
      <c r="C52" s="18" t="s">
        <v>15</v>
      </c>
      <c r="D52" s="18" t="s">
        <v>859</v>
      </c>
      <c r="F52" s="18" t="s">
        <v>866</v>
      </c>
      <c r="G52" s="18" t="s">
        <v>867</v>
      </c>
      <c r="H52" s="18" t="s">
        <f>971553930501</f>
        <v>868</v>
      </c>
      <c r="I52" s="18" t="s">
        <f>971553930501</f>
        <v>868</v>
      </c>
      <c r="J52" s="18" t="s">
        <v>44</v>
      </c>
    </row>
    <row r="53" spans="1:10" ht="15.75" customHeight="1" x14ac:dyDescent="0.15">
      <c r="A53" s="17">
        <v>46057.0</v>
      </c>
      <c r="B53" s="18" t="s">
        <v>829</v>
      </c>
      <c r="C53" s="18" t="s">
        <v>15</v>
      </c>
      <c r="D53" s="18" t="s">
        <v>859</v>
      </c>
      <c r="F53" s="18" t="s">
        <v>869</v>
      </c>
      <c r="G53" s="18" t="s">
        <v>870</v>
      </c>
      <c r="H53" s="18" t="s">
        <f>97154742364</f>
        <v>871</v>
      </c>
      <c r="I53" s="18" t="s">
        <f>971508244137</f>
        <v>872</v>
      </c>
      <c r="J53" s="18" t="s">
        <v>44</v>
      </c>
    </row>
    <row r="54" spans="1:10" ht="15.75" customHeight="1" x14ac:dyDescent="0.15">
      <c r="A54" s="17">
        <v>46059.70788194444</v>
      </c>
      <c r="B54" s="18" t="s">
        <v>829</v>
      </c>
      <c r="C54" s="18" t="s">
        <v>15</v>
      </c>
      <c r="D54" s="18" t="s">
        <v>780</v>
      </c>
      <c r="F54" s="18" t="s">
        <v>873</v>
      </c>
      <c r="G54" s="18" t="s">
        <v>874</v>
      </c>
      <c r="H54" s="18">
        <v>9.71554861178E11</v>
      </c>
      <c r="I54" s="18">
        <v>9.71554861178E11</v>
      </c>
      <c r="J54" s="18" t="s">
        <v>89</v>
      </c>
    </row>
    <row r="55" spans="1:10" ht="15.75" customHeight="1" x14ac:dyDescent="0.15">
      <c r="A55" s="17">
        <v>46059.796898148146</v>
      </c>
      <c r="B55" s="18" t="s">
        <v>829</v>
      </c>
      <c r="C55" s="18" t="s">
        <v>15</v>
      </c>
      <c r="D55" s="18" t="s">
        <v>780</v>
      </c>
      <c r="F55" s="18" t="s">
        <v>875</v>
      </c>
      <c r="G55" s="18" t="s">
        <v>876</v>
      </c>
      <c r="H55" s="18">
        <v>9.1885329464E11</v>
      </c>
      <c r="I55" s="18">
        <v>9.1885329464E11</v>
      </c>
      <c r="J55" s="18" t="s">
        <v>89</v>
      </c>
    </row>
    <row r="56" spans="1:10" ht="15.75" customHeight="1" x14ac:dyDescent="0.15">
      <c r="A56" s="5"/>
      <c r="B56" s="18"/>
      <c r="C56" s="18"/>
      <c r="D56" s="18"/>
      <c r="F56" s="18"/>
      <c r="G56" s="18"/>
      <c r="H56" s="18"/>
      <c r="I56" s="18"/>
      <c r="J56" s="18"/>
    </row>
    <row r="57" spans="1:10" ht="15.75" customHeight="1" x14ac:dyDescent="0.15">
      <c r="A57" s="38"/>
      <c r="F57" s="39"/>
      <c r="G57" s="39"/>
      <c r="H57" s="39"/>
      <c r="I57" s="39"/>
      <c r="J57" s="39"/>
    </row>
    <row r="58" spans="1:10" ht="15.75" customHeight="1" x14ac:dyDescent="0.15">
      <c r="A58" s="38"/>
      <c r="F58" s="39"/>
      <c r="G58" s="39"/>
      <c r="H58" s="39"/>
      <c r="I58" s="39"/>
      <c r="J58" s="39"/>
    </row>
    <row r="59" spans="1:10" ht="15.75" customHeight="1" x14ac:dyDescent="0.15">
      <c r="A59" s="38"/>
      <c r="F59" s="39"/>
      <c r="G59" s="39"/>
      <c r="H59" s="39"/>
      <c r="I59" s="39"/>
      <c r="J59" s="39"/>
    </row>
    <row r="60" spans="1:10" ht="15.75" customHeight="1" x14ac:dyDescent="0.15">
      <c r="A60" s="38"/>
      <c r="F60" s="39"/>
      <c r="G60" s="39"/>
      <c r="H60" s="39"/>
      <c r="I60" s="39"/>
      <c r="J60" s="39"/>
    </row>
    <row r="61" spans="1:10" ht="15.75" customHeight="1" x14ac:dyDescent="0.15">
      <c r="A61" s="38"/>
      <c r="F61" s="39"/>
      <c r="G61" s="39"/>
      <c r="H61" s="39"/>
      <c r="I61" s="39"/>
      <c r="J61" s="39"/>
    </row>
    <row r="62" spans="1:10" ht="15.75" customHeight="1" x14ac:dyDescent="0.15">
      <c r="A62" s="38"/>
      <c r="F62" s="39"/>
      <c r="G62" s="39"/>
      <c r="H62" s="39"/>
      <c r="I62" s="39"/>
      <c r="J62" s="39"/>
    </row>
    <row r="63" spans="1:10" ht="15.75" customHeight="1" x14ac:dyDescent="0.15">
      <c r="A63" s="38"/>
      <c r="F63" s="39"/>
      <c r="G63" s="39"/>
      <c r="H63" s="39"/>
      <c r="I63" s="39"/>
      <c r="J63" s="39"/>
    </row>
    <row r="64" spans="1:10" ht="15.75" customHeight="1" x14ac:dyDescent="0.15">
      <c r="A64" s="38"/>
      <c r="F64" s="39"/>
      <c r="G64" s="39"/>
      <c r="H64" s="39"/>
      <c r="I64" s="39"/>
      <c r="J64" s="39"/>
    </row>
    <row r="65" spans="1:10" ht="15.75" customHeight="1" x14ac:dyDescent="0.15">
      <c r="A65" s="38"/>
      <c r="F65" s="39"/>
      <c r="G65" s="39"/>
      <c r="H65" s="39"/>
      <c r="I65" s="39"/>
      <c r="J65" s="39"/>
    </row>
    <row r="66" spans="1:10" ht="15.75" customHeight="1" x14ac:dyDescent="0.15">
      <c r="A66" s="38"/>
      <c r="F66" s="39"/>
      <c r="G66" s="39"/>
      <c r="H66" s="39"/>
      <c r="I66" s="39"/>
      <c r="J66" s="39"/>
    </row>
    <row r="67" spans="1:10" ht="15.75" customHeight="1" x14ac:dyDescent="0.15">
      <c r="A67" s="38"/>
      <c r="F67" s="39"/>
      <c r="G67" s="39"/>
      <c r="H67" s="39"/>
      <c r="I67" s="39"/>
      <c r="J67" s="39"/>
    </row>
    <row r="68" spans="1:10" ht="15.75" customHeight="1" x14ac:dyDescent="0.15">
      <c r="A68" s="38"/>
      <c r="F68" s="39"/>
      <c r="G68" s="39"/>
      <c r="H68" s="39"/>
      <c r="I68" s="39"/>
      <c r="J68" s="39"/>
    </row>
    <row r="69" spans="1:10" ht="15.75" customHeight="1" x14ac:dyDescent="0.15">
      <c r="A69" s="38"/>
      <c r="F69" s="39"/>
      <c r="G69" s="39"/>
      <c r="H69" s="39"/>
      <c r="I69" s="39"/>
      <c r="J69" s="39"/>
    </row>
    <row r="70" spans="1:10" ht="15.75" customHeight="1" x14ac:dyDescent="0.15">
      <c r="A70" s="38"/>
      <c r="F70" s="39"/>
      <c r="G70" s="39"/>
      <c r="H70" s="39"/>
      <c r="I70" s="39"/>
      <c r="J70" s="39"/>
    </row>
    <row r="71" spans="1:10" ht="15.75" customHeight="1" x14ac:dyDescent="0.15">
      <c r="A71" s="38"/>
      <c r="F71" s="39"/>
      <c r="G71" s="39"/>
      <c r="H71" s="39"/>
      <c r="I71" s="39"/>
      <c r="J71" s="39"/>
    </row>
    <row r="72" spans="1:10" ht="15.75" customHeight="1" x14ac:dyDescent="0.15">
      <c r="A72" s="38"/>
      <c r="F72" s="39"/>
      <c r="G72" s="39"/>
      <c r="H72" s="39"/>
      <c r="I72" s="39"/>
      <c r="J72" s="39"/>
    </row>
    <row r="73" spans="1:10" ht="15.75" customHeight="1" x14ac:dyDescent="0.15">
      <c r="A73" s="38"/>
      <c r="F73" s="39"/>
      <c r="G73" s="39"/>
      <c r="H73" s="39"/>
      <c r="I73" s="39"/>
      <c r="J73" s="39"/>
    </row>
    <row r="74" spans="1:10" ht="15.75" customHeight="1" x14ac:dyDescent="0.15">
      <c r="A74" s="38"/>
      <c r="F74" s="39"/>
      <c r="G74" s="39"/>
      <c r="H74" s="39"/>
      <c r="I74" s="39"/>
      <c r="J74" s="39"/>
    </row>
    <row r="75" spans="1:10" ht="15.75" customHeight="1" x14ac:dyDescent="0.15">
      <c r="A75" s="38"/>
      <c r="F75" s="39"/>
      <c r="G75" s="39"/>
      <c r="H75" s="39"/>
      <c r="I75" s="39"/>
      <c r="J75" s="39"/>
    </row>
    <row r="76" spans="1:10" ht="15.75" customHeight="1" x14ac:dyDescent="0.15">
      <c r="A76" s="38"/>
      <c r="F76" s="39"/>
      <c r="G76" s="39"/>
      <c r="H76" s="39"/>
      <c r="I76" s="39"/>
      <c r="J76" s="39"/>
    </row>
    <row r="77" spans="1:10" ht="15.75" customHeight="1" x14ac:dyDescent="0.15">
      <c r="A77" s="38"/>
      <c r="F77" s="39"/>
      <c r="G77" s="39"/>
      <c r="H77" s="39"/>
      <c r="I77" s="39"/>
      <c r="J77" s="39"/>
    </row>
    <row r="78" spans="1:10" ht="15.75" customHeight="1" x14ac:dyDescent="0.15">
      <c r="A78" s="38"/>
      <c r="F78" s="39"/>
      <c r="G78" s="39"/>
      <c r="H78" s="39"/>
      <c r="I78" s="39"/>
      <c r="J78" s="39"/>
    </row>
    <row r="79" spans="1:10" ht="15.75" customHeight="1" x14ac:dyDescent="0.15">
      <c r="A79" s="38"/>
      <c r="F79" s="39"/>
      <c r="G79" s="39"/>
      <c r="H79" s="39"/>
      <c r="I79" s="39"/>
      <c r="J79" s="39"/>
    </row>
    <row r="80" spans="1:10" ht="15.75" customHeight="1" x14ac:dyDescent="0.15">
      <c r="A80" s="38"/>
      <c r="F80" s="39"/>
      <c r="G80" s="39"/>
      <c r="H80" s="39"/>
      <c r="I80" s="39"/>
      <c r="J80" s="39"/>
    </row>
    <row r="81" spans="1:10" ht="15.75" customHeight="1" x14ac:dyDescent="0.15">
      <c r="A81" s="38"/>
      <c r="F81" s="39"/>
      <c r="G81" s="39"/>
      <c r="H81" s="39"/>
      <c r="I81" s="39"/>
      <c r="J81" s="39"/>
    </row>
    <row r="82" spans="1:10" ht="15.75" customHeight="1" x14ac:dyDescent="0.15">
      <c r="A82" s="38"/>
      <c r="F82" s="39"/>
      <c r="G82" s="39"/>
      <c r="H82" s="39"/>
      <c r="I82" s="39"/>
      <c r="J82" s="39"/>
    </row>
    <row r="83" spans="1:10" ht="15.75" customHeight="1" x14ac:dyDescent="0.15">
      <c r="A83" s="38"/>
      <c r="F83" s="39"/>
      <c r="G83" s="39"/>
      <c r="H83" s="39"/>
      <c r="I83" s="39"/>
      <c r="J83" s="39"/>
    </row>
    <row r="84" spans="1:10" ht="15.75" customHeight="1" x14ac:dyDescent="0.15">
      <c r="A84" s="38"/>
      <c r="F84" s="39"/>
      <c r="G84" s="39"/>
      <c r="H84" s="39"/>
      <c r="I84" s="39"/>
      <c r="J84" s="39"/>
    </row>
    <row r="85" spans="1:10" ht="15.75" customHeight="1" x14ac:dyDescent="0.15">
      <c r="A85" s="38"/>
      <c r="F85" s="39"/>
      <c r="G85" s="39"/>
      <c r="H85" s="39"/>
      <c r="I85" s="39"/>
      <c r="J85" s="39"/>
    </row>
    <row r="86" spans="1:10" ht="15.75" customHeight="1" x14ac:dyDescent="0.15">
      <c r="A86" s="38"/>
      <c r="F86" s="39"/>
      <c r="G86" s="39"/>
      <c r="H86" s="39"/>
      <c r="I86" s="39"/>
      <c r="J86" s="39"/>
    </row>
    <row r="87" spans="1:10" ht="15.75" customHeight="1" x14ac:dyDescent="0.15">
      <c r="A87" s="38"/>
      <c r="F87" s="39"/>
      <c r="G87" s="39"/>
      <c r="H87" s="39"/>
      <c r="I87" s="39"/>
      <c r="J87" s="39"/>
    </row>
    <row r="88" spans="1:10" ht="15.75" customHeight="1" x14ac:dyDescent="0.15">
      <c r="A88" s="38"/>
      <c r="F88" s="39"/>
      <c r="G88" s="39"/>
      <c r="H88" s="39"/>
      <c r="I88" s="39"/>
      <c r="J88" s="39"/>
    </row>
    <row r="89" spans="1:10" ht="15.75" customHeight="1" x14ac:dyDescent="0.15">
      <c r="A89" s="38"/>
      <c r="F89" s="39"/>
      <c r="G89" s="39"/>
      <c r="H89" s="39"/>
      <c r="I89" s="39"/>
      <c r="J89" s="39"/>
    </row>
    <row r="90" spans="1:10" ht="15.75" customHeight="1" x14ac:dyDescent="0.15">
      <c r="A90" s="38"/>
      <c r="F90" s="39"/>
      <c r="G90" s="39"/>
      <c r="H90" s="39"/>
      <c r="I90" s="39"/>
      <c r="J90" s="39"/>
    </row>
    <row r="91" spans="1:10" ht="15.75" customHeight="1" x14ac:dyDescent="0.15">
      <c r="A91" s="38"/>
      <c r="F91" s="39"/>
      <c r="G91" s="39"/>
      <c r="H91" s="39"/>
      <c r="I91" s="39"/>
      <c r="J91" s="39"/>
    </row>
    <row r="92" spans="1:10" ht="15.75" customHeight="1" x14ac:dyDescent="0.15">
      <c r="A92" s="38"/>
      <c r="F92" s="39"/>
      <c r="G92" s="39"/>
      <c r="H92" s="39"/>
      <c r="I92" s="39"/>
      <c r="J92" s="39"/>
    </row>
    <row r="93" spans="1:10" ht="15.75" customHeight="1" x14ac:dyDescent="0.15">
      <c r="A93" s="38"/>
      <c r="F93" s="39"/>
      <c r="G93" s="39"/>
      <c r="H93" s="39"/>
      <c r="I93" s="39"/>
      <c r="J93" s="39"/>
    </row>
    <row r="94" spans="1:10" ht="15.75" customHeight="1" x14ac:dyDescent="0.15">
      <c r="A94" s="38"/>
      <c r="F94" s="39"/>
      <c r="G94" s="39"/>
      <c r="H94" s="39"/>
      <c r="I94" s="39"/>
      <c r="J94" s="39"/>
    </row>
    <row r="95" spans="1:10" ht="15.75" customHeight="1" x14ac:dyDescent="0.15">
      <c r="A95" s="38"/>
      <c r="F95" s="39"/>
      <c r="G95" s="39"/>
      <c r="H95" s="39"/>
      <c r="I95" s="39"/>
      <c r="J95" s="39"/>
    </row>
    <row r="96" spans="1:10" ht="15.75" customHeight="1" x14ac:dyDescent="0.15">
      <c r="A96" s="38"/>
      <c r="F96" s="39"/>
      <c r="G96" s="39"/>
      <c r="H96" s="39"/>
      <c r="I96" s="39"/>
      <c r="J96" s="39"/>
    </row>
    <row r="97" spans="1:10" ht="15.75" customHeight="1" x14ac:dyDescent="0.15">
      <c r="A97" s="38"/>
      <c r="F97" s="39"/>
      <c r="G97" s="39"/>
      <c r="H97" s="39"/>
      <c r="I97" s="39"/>
      <c r="J97" s="39"/>
    </row>
    <row r="98" spans="1:10" ht="15.75" customHeight="1" x14ac:dyDescent="0.15">
      <c r="A98" s="38"/>
      <c r="F98" s="39"/>
      <c r="G98" s="39"/>
      <c r="H98" s="39"/>
      <c r="I98" s="39"/>
      <c r="J98" s="39"/>
    </row>
    <row r="99" spans="1:10" ht="15.75" customHeight="1" x14ac:dyDescent="0.15">
      <c r="A99" s="38"/>
      <c r="F99" s="39"/>
      <c r="G99" s="39"/>
      <c r="H99" s="39"/>
      <c r="I99" s="39"/>
      <c r="J99" s="39"/>
    </row>
    <row r="100" spans="1:10" ht="15.75" customHeight="1" x14ac:dyDescent="0.15">
      <c r="A100" s="38"/>
      <c r="F100" s="39"/>
      <c r="G100" s="39"/>
      <c r="H100" s="39"/>
      <c r="I100" s="39"/>
      <c r="J100" s="39"/>
    </row>
    <row r="101" spans="1:10" ht="15.75" customHeight="1" x14ac:dyDescent="0.15">
      <c r="A101" s="38"/>
      <c r="F101" s="39"/>
      <c r="G101" s="39"/>
      <c r="H101" s="39"/>
      <c r="I101" s="39"/>
      <c r="J101" s="39"/>
    </row>
    <row r="102" spans="1:10" ht="15.75" customHeight="1" x14ac:dyDescent="0.15">
      <c r="A102" s="38"/>
      <c r="F102" s="39"/>
      <c r="G102" s="39"/>
      <c r="H102" s="39"/>
      <c r="I102" s="39"/>
      <c r="J102" s="39"/>
    </row>
    <row r="103" spans="1:10" ht="15.75" customHeight="1" x14ac:dyDescent="0.15">
      <c r="A103" s="38"/>
      <c r="F103" s="39"/>
      <c r="G103" s="39"/>
      <c r="H103" s="39"/>
      <c r="I103" s="39"/>
      <c r="J103" s="39"/>
    </row>
    <row r="104" spans="1:10" ht="15.75" customHeight="1" x14ac:dyDescent="0.15">
      <c r="A104" s="38"/>
      <c r="F104" s="39"/>
      <c r="G104" s="39"/>
      <c r="H104" s="39"/>
      <c r="I104" s="39"/>
      <c r="J104" s="39"/>
    </row>
    <row r="105" spans="1:10" ht="15.75" customHeight="1" x14ac:dyDescent="0.15">
      <c r="A105" s="38"/>
      <c r="F105" s="39"/>
      <c r="G105" s="39"/>
      <c r="H105" s="39"/>
      <c r="I105" s="39"/>
      <c r="J105" s="39"/>
    </row>
    <row r="106" spans="1:10" ht="15.75" customHeight="1" x14ac:dyDescent="0.15">
      <c r="A106" s="38"/>
      <c r="F106" s="39"/>
      <c r="G106" s="39"/>
      <c r="H106" s="39"/>
      <c r="I106" s="39"/>
      <c r="J106" s="39"/>
    </row>
    <row r="107" spans="1:10" ht="15.75" customHeight="1" x14ac:dyDescent="0.15">
      <c r="A107" s="38"/>
      <c r="F107" s="39"/>
      <c r="G107" s="39"/>
      <c r="H107" s="39"/>
      <c r="I107" s="39"/>
      <c r="J107" s="39"/>
    </row>
    <row r="108" spans="1:10" ht="15.75" customHeight="1" x14ac:dyDescent="0.15">
      <c r="A108" s="38"/>
      <c r="F108" s="39"/>
      <c r="G108" s="39"/>
      <c r="H108" s="39"/>
      <c r="I108" s="39"/>
      <c r="J108" s="39"/>
    </row>
    <row r="109" spans="1:10" ht="15.75" customHeight="1" x14ac:dyDescent="0.15">
      <c r="A109" s="38"/>
      <c r="F109" s="39"/>
      <c r="G109" s="39"/>
      <c r="H109" s="39"/>
      <c r="I109" s="39"/>
      <c r="J109" s="39"/>
    </row>
    <row r="110" spans="1:10" ht="15.75" customHeight="1" x14ac:dyDescent="0.15">
      <c r="A110" s="38"/>
      <c r="F110" s="39"/>
      <c r="G110" s="39"/>
      <c r="H110" s="39"/>
      <c r="I110" s="39"/>
      <c r="J110" s="39"/>
    </row>
    <row r="111" spans="1:10" ht="15.75" customHeight="1" x14ac:dyDescent="0.15">
      <c r="A111" s="38"/>
      <c r="F111" s="39"/>
      <c r="G111" s="39"/>
      <c r="H111" s="39"/>
      <c r="I111" s="39"/>
      <c r="J111" s="39"/>
    </row>
    <row r="112" spans="1:10" ht="15.75" customHeight="1" x14ac:dyDescent="0.15">
      <c r="A112" s="38"/>
      <c r="F112" s="39"/>
      <c r="G112" s="39"/>
      <c r="H112" s="39"/>
      <c r="I112" s="39"/>
      <c r="J112" s="39"/>
    </row>
    <row r="113" spans="1:10" ht="15.75" customHeight="1" x14ac:dyDescent="0.15">
      <c r="A113" s="38"/>
      <c r="F113" s="39"/>
      <c r="G113" s="39"/>
      <c r="H113" s="39"/>
      <c r="I113" s="39"/>
      <c r="J113" s="39"/>
    </row>
    <row r="114" spans="1:10" ht="15.75" customHeight="1" x14ac:dyDescent="0.15">
      <c r="A114" s="38"/>
      <c r="F114" s="39"/>
      <c r="G114" s="39"/>
      <c r="H114" s="39"/>
      <c r="I114" s="39"/>
      <c r="J114" s="39"/>
    </row>
    <row r="115" spans="1:10" ht="15.75" customHeight="1" x14ac:dyDescent="0.15">
      <c r="A115" s="38"/>
      <c r="F115" s="39"/>
      <c r="G115" s="39"/>
      <c r="H115" s="39"/>
      <c r="I115" s="39"/>
      <c r="J115" s="39"/>
    </row>
    <row r="116" spans="1:10" ht="15.75" customHeight="1" x14ac:dyDescent="0.15">
      <c r="A116" s="38"/>
      <c r="F116" s="39"/>
      <c r="G116" s="39"/>
      <c r="H116" s="39"/>
      <c r="I116" s="39"/>
      <c r="J116" s="39"/>
    </row>
    <row r="117" spans="1:10" ht="15.75" customHeight="1" x14ac:dyDescent="0.15">
      <c r="A117" s="38"/>
      <c r="F117" s="39"/>
      <c r="G117" s="39"/>
      <c r="H117" s="39"/>
      <c r="I117" s="39"/>
      <c r="J117" s="39"/>
    </row>
    <row r="118" spans="1:10" ht="15.75" customHeight="1" x14ac:dyDescent="0.15">
      <c r="A118" s="38"/>
      <c r="F118" s="39"/>
      <c r="G118" s="39"/>
      <c r="H118" s="39"/>
      <c r="I118" s="39"/>
      <c r="J118" s="39"/>
    </row>
    <row r="119" spans="1:10" ht="15.75" customHeight="1" x14ac:dyDescent="0.15">
      <c r="A119" s="38"/>
      <c r="F119" s="39"/>
      <c r="G119" s="39"/>
      <c r="H119" s="39"/>
      <c r="I119" s="39"/>
      <c r="J119" s="39"/>
    </row>
    <row r="120" spans="1:10" ht="15.75" customHeight="1" x14ac:dyDescent="0.15">
      <c r="A120" s="38"/>
      <c r="F120" s="39"/>
      <c r="G120" s="39"/>
      <c r="H120" s="39"/>
      <c r="I120" s="39"/>
      <c r="J120" s="39"/>
    </row>
    <row r="121" spans="1:10" ht="15.75" customHeight="1" x14ac:dyDescent="0.15">
      <c r="A121" s="38"/>
      <c r="F121" s="39"/>
      <c r="G121" s="39"/>
      <c r="H121" s="39"/>
      <c r="I121" s="39"/>
      <c r="J121" s="39"/>
    </row>
    <row r="122" spans="1:10" ht="15.75" customHeight="1" x14ac:dyDescent="0.15">
      <c r="A122" s="38"/>
      <c r="F122" s="39"/>
      <c r="G122" s="39"/>
      <c r="H122" s="39"/>
      <c r="I122" s="39"/>
      <c r="J122" s="39"/>
    </row>
    <row r="123" spans="1:10" ht="15.75" customHeight="1" x14ac:dyDescent="0.15">
      <c r="A123" s="38"/>
      <c r="F123" s="39"/>
      <c r="G123" s="39"/>
      <c r="H123" s="39"/>
      <c r="I123" s="39"/>
      <c r="J123" s="39"/>
    </row>
    <row r="124" spans="1:10" ht="15.75" customHeight="1" x14ac:dyDescent="0.15">
      <c r="A124" s="38"/>
      <c r="F124" s="39"/>
      <c r="G124" s="39"/>
      <c r="H124" s="39"/>
      <c r="I124" s="39"/>
      <c r="J124" s="39"/>
    </row>
    <row r="125" spans="1:10" ht="15.75" customHeight="1" x14ac:dyDescent="0.15">
      <c r="A125" s="38"/>
      <c r="F125" s="39"/>
      <c r="G125" s="39"/>
      <c r="H125" s="39"/>
      <c r="I125" s="39"/>
      <c r="J125" s="39"/>
    </row>
    <row r="126" spans="1:10" ht="15.75" customHeight="1" x14ac:dyDescent="0.15">
      <c r="A126" s="38"/>
      <c r="F126" s="39"/>
      <c r="G126" s="39"/>
      <c r="H126" s="39"/>
      <c r="I126" s="39"/>
      <c r="J126" s="39"/>
    </row>
    <row r="127" spans="1:10" ht="15.75" customHeight="1" x14ac:dyDescent="0.15">
      <c r="A127" s="38"/>
      <c r="F127" s="39"/>
      <c r="G127" s="39"/>
      <c r="H127" s="39"/>
      <c r="I127" s="39"/>
      <c r="J127" s="39"/>
    </row>
    <row r="128" spans="1:10" ht="15.75" customHeight="1" x14ac:dyDescent="0.15">
      <c r="A128" s="38"/>
      <c r="F128" s="39"/>
      <c r="G128" s="39"/>
      <c r="H128" s="39"/>
      <c r="I128" s="39"/>
      <c r="J128" s="39"/>
    </row>
    <row r="129" spans="1:10" ht="15.75" customHeight="1" x14ac:dyDescent="0.15">
      <c r="A129" s="38"/>
      <c r="F129" s="39"/>
      <c r="G129" s="39"/>
      <c r="H129" s="39"/>
      <c r="I129" s="39"/>
      <c r="J129" s="39"/>
    </row>
    <row r="130" spans="1:10" ht="15.75" customHeight="1" x14ac:dyDescent="0.15">
      <c r="A130" s="38"/>
      <c r="F130" s="39"/>
      <c r="G130" s="39"/>
      <c r="H130" s="39"/>
      <c r="I130" s="39"/>
      <c r="J130" s="39"/>
    </row>
    <row r="131" spans="1:10" ht="15.75" customHeight="1" x14ac:dyDescent="0.15">
      <c r="A131" s="38"/>
      <c r="F131" s="39"/>
      <c r="G131" s="39"/>
      <c r="H131" s="39"/>
      <c r="I131" s="39"/>
      <c r="J131" s="39"/>
    </row>
    <row r="132" spans="1:10" ht="15.75" customHeight="1" x14ac:dyDescent="0.15">
      <c r="A132" s="38"/>
      <c r="F132" s="39"/>
      <c r="G132" s="39"/>
      <c r="H132" s="39"/>
      <c r="I132" s="39"/>
      <c r="J132" s="39"/>
    </row>
    <row r="133" spans="1:10" ht="15.75" customHeight="1" x14ac:dyDescent="0.15">
      <c r="A133" s="38"/>
      <c r="F133" s="39"/>
      <c r="G133" s="39"/>
      <c r="H133" s="39"/>
      <c r="I133" s="39"/>
      <c r="J133" s="39"/>
    </row>
    <row r="134" spans="1:10" ht="15.75" customHeight="1" x14ac:dyDescent="0.15">
      <c r="A134" s="38"/>
      <c r="F134" s="39"/>
      <c r="G134" s="39"/>
      <c r="H134" s="39"/>
      <c r="I134" s="39"/>
      <c r="J134" s="39"/>
    </row>
    <row r="135" spans="1:10" ht="15.75" customHeight="1" x14ac:dyDescent="0.15">
      <c r="A135" s="38"/>
      <c r="F135" s="39"/>
      <c r="G135" s="39"/>
      <c r="H135" s="39"/>
      <c r="I135" s="39"/>
      <c r="J135" s="39"/>
    </row>
    <row r="136" spans="1:10" ht="15.75" customHeight="1" x14ac:dyDescent="0.15">
      <c r="A136" s="38"/>
      <c r="F136" s="39"/>
      <c r="G136" s="39"/>
      <c r="H136" s="39"/>
      <c r="I136" s="39"/>
      <c r="J136" s="39"/>
    </row>
    <row r="137" spans="1:10" ht="15.75" customHeight="1" x14ac:dyDescent="0.15">
      <c r="A137" s="38"/>
      <c r="F137" s="39"/>
      <c r="G137" s="39"/>
      <c r="H137" s="39"/>
      <c r="I137" s="39"/>
      <c r="J137" s="39"/>
    </row>
    <row r="138" spans="1:10" ht="15.75" customHeight="1" x14ac:dyDescent="0.15">
      <c r="A138" s="38"/>
      <c r="F138" s="39"/>
      <c r="G138" s="39"/>
      <c r="H138" s="39"/>
      <c r="I138" s="39"/>
      <c r="J138" s="39"/>
    </row>
    <row r="139" spans="1:10" ht="15.75" customHeight="1" x14ac:dyDescent="0.15">
      <c r="A139" s="38"/>
      <c r="F139" s="39"/>
      <c r="G139" s="39"/>
      <c r="H139" s="39"/>
      <c r="I139" s="39"/>
      <c r="J139" s="39"/>
    </row>
    <row r="140" spans="1:10" ht="15.75" customHeight="1" x14ac:dyDescent="0.15">
      <c r="A140" s="38"/>
      <c r="F140" s="39"/>
      <c r="G140" s="39"/>
      <c r="H140" s="39"/>
      <c r="I140" s="39"/>
      <c r="J140" s="39"/>
    </row>
    <row r="141" spans="1:10" ht="15.75" customHeight="1" x14ac:dyDescent="0.15">
      <c r="A141" s="38"/>
      <c r="F141" s="39"/>
      <c r="G141" s="39"/>
      <c r="H141" s="39"/>
      <c r="I141" s="39"/>
      <c r="J141" s="39"/>
    </row>
    <row r="142" spans="1:10" ht="15.75" customHeight="1" x14ac:dyDescent="0.15">
      <c r="A142" s="38"/>
      <c r="F142" s="39"/>
      <c r="G142" s="39"/>
      <c r="H142" s="39"/>
      <c r="I142" s="39"/>
      <c r="J142" s="39"/>
    </row>
    <row r="143" spans="1:10" ht="15.75" customHeight="1" x14ac:dyDescent="0.15">
      <c r="A143" s="38"/>
      <c r="F143" s="39"/>
      <c r="G143" s="39"/>
      <c r="H143" s="39"/>
      <c r="I143" s="39"/>
      <c r="J143" s="39"/>
    </row>
    <row r="144" spans="1:10" ht="15.75" customHeight="1" x14ac:dyDescent="0.15">
      <c r="A144" s="38"/>
      <c r="F144" s="39"/>
      <c r="G144" s="39"/>
      <c r="H144" s="39"/>
      <c r="I144" s="39"/>
      <c r="J144" s="39"/>
    </row>
    <row r="145" spans="1:10" ht="15.75" customHeight="1" x14ac:dyDescent="0.15">
      <c r="A145" s="38"/>
      <c r="F145" s="39"/>
      <c r="G145" s="39"/>
      <c r="H145" s="39"/>
      <c r="I145" s="39"/>
      <c r="J145" s="39"/>
    </row>
    <row r="146" spans="1:10" ht="15.75" customHeight="1" x14ac:dyDescent="0.15">
      <c r="A146" s="38"/>
      <c r="F146" s="39"/>
      <c r="G146" s="39"/>
      <c r="H146" s="39"/>
      <c r="I146" s="39"/>
      <c r="J146" s="39"/>
    </row>
    <row r="147" spans="1:10" ht="15.75" customHeight="1" x14ac:dyDescent="0.15">
      <c r="A147" s="38"/>
      <c r="F147" s="39"/>
      <c r="G147" s="39"/>
      <c r="H147" s="39"/>
      <c r="I147" s="39"/>
      <c r="J147" s="39"/>
    </row>
    <row r="148" spans="1:10" ht="15.75" customHeight="1" x14ac:dyDescent="0.15">
      <c r="A148" s="38"/>
      <c r="F148" s="39"/>
      <c r="G148" s="39"/>
      <c r="H148" s="39"/>
      <c r="I148" s="39"/>
      <c r="J148" s="39"/>
    </row>
    <row r="149" spans="1:10" ht="15.75" customHeight="1" x14ac:dyDescent="0.15">
      <c r="A149" s="38"/>
      <c r="F149" s="39"/>
      <c r="G149" s="39"/>
      <c r="H149" s="39"/>
      <c r="I149" s="39"/>
      <c r="J149" s="39"/>
    </row>
    <row r="150" spans="1:10" ht="15.75" customHeight="1" x14ac:dyDescent="0.15">
      <c r="A150" s="38"/>
      <c r="F150" s="39"/>
      <c r="G150" s="39"/>
      <c r="H150" s="39"/>
      <c r="I150" s="39"/>
      <c r="J150" s="39"/>
    </row>
    <row r="151" spans="1:10" ht="15.75" customHeight="1" x14ac:dyDescent="0.15">
      <c r="A151" s="38"/>
      <c r="F151" s="39"/>
      <c r="G151" s="39"/>
      <c r="H151" s="39"/>
      <c r="I151" s="39"/>
      <c r="J151" s="39"/>
    </row>
    <row r="152" spans="1:10" ht="15.75" customHeight="1" x14ac:dyDescent="0.15">
      <c r="A152" s="38"/>
      <c r="F152" s="39"/>
      <c r="G152" s="39"/>
      <c r="H152" s="39"/>
      <c r="I152" s="39"/>
      <c r="J152" s="39"/>
    </row>
    <row r="153" spans="1:10" ht="15.75" customHeight="1" x14ac:dyDescent="0.15">
      <c r="A153" s="38"/>
      <c r="F153" s="39"/>
      <c r="G153" s="39"/>
      <c r="H153" s="39"/>
      <c r="I153" s="39"/>
      <c r="J153" s="39"/>
    </row>
    <row r="154" spans="1:10" ht="15.75" customHeight="1" x14ac:dyDescent="0.15">
      <c r="A154" s="38"/>
      <c r="F154" s="39"/>
      <c r="G154" s="39"/>
      <c r="H154" s="39"/>
      <c r="I154" s="39"/>
      <c r="J154" s="39"/>
    </row>
    <row r="155" spans="1:10" ht="15.75" customHeight="1" x14ac:dyDescent="0.15">
      <c r="A155" s="38"/>
      <c r="F155" s="39"/>
      <c r="G155" s="39"/>
      <c r="H155" s="39"/>
      <c r="I155" s="39"/>
      <c r="J155" s="39"/>
    </row>
    <row r="156" spans="1:10" ht="15.75" customHeight="1" x14ac:dyDescent="0.15">
      <c r="A156" s="38"/>
      <c r="F156" s="39"/>
      <c r="G156" s="39"/>
      <c r="H156" s="39"/>
      <c r="I156" s="39"/>
      <c r="J156" s="39"/>
    </row>
    <row r="157" spans="1:10" ht="15.75" customHeight="1" x14ac:dyDescent="0.15">
      <c r="A157" s="38"/>
      <c r="F157" s="39"/>
      <c r="G157" s="39"/>
      <c r="H157" s="39"/>
      <c r="I157" s="39"/>
      <c r="J157" s="39"/>
    </row>
    <row r="158" spans="1:10" ht="15.75" customHeight="1" x14ac:dyDescent="0.15">
      <c r="A158" s="38"/>
      <c r="F158" s="39"/>
      <c r="G158" s="39"/>
      <c r="H158" s="39"/>
      <c r="I158" s="39"/>
      <c r="J158" s="39"/>
    </row>
    <row r="159" spans="1:10" ht="15.75" customHeight="1" x14ac:dyDescent="0.15">
      <c r="A159" s="38"/>
      <c r="F159" s="39"/>
      <c r="G159" s="39"/>
      <c r="H159" s="39"/>
      <c r="I159" s="39"/>
      <c r="J159" s="39"/>
    </row>
    <row r="160" spans="1:10" ht="15.75" customHeight="1" x14ac:dyDescent="0.15">
      <c r="A160" s="38"/>
      <c r="F160" s="39"/>
      <c r="G160" s="39"/>
      <c r="H160" s="39"/>
      <c r="I160" s="39"/>
      <c r="J160" s="39"/>
    </row>
    <row r="161" spans="1:10" ht="15.75" customHeight="1" x14ac:dyDescent="0.15">
      <c r="A161" s="38"/>
      <c r="F161" s="39"/>
      <c r="G161" s="39"/>
      <c r="H161" s="39"/>
      <c r="I161" s="39"/>
      <c r="J161" s="39"/>
    </row>
    <row r="162" spans="1:10" ht="15.75" customHeight="1" x14ac:dyDescent="0.15">
      <c r="A162" s="38"/>
      <c r="F162" s="39"/>
      <c r="G162" s="39"/>
      <c r="H162" s="39"/>
      <c r="I162" s="39"/>
      <c r="J162" s="39"/>
    </row>
    <row r="163" spans="1:10" ht="15.75" customHeight="1" x14ac:dyDescent="0.15">
      <c r="A163" s="38"/>
      <c r="F163" s="39"/>
      <c r="G163" s="39"/>
      <c r="H163" s="39"/>
      <c r="I163" s="39"/>
      <c r="J163" s="39"/>
    </row>
    <row r="164" spans="1:10" ht="15.75" customHeight="1" x14ac:dyDescent="0.15">
      <c r="A164" s="38"/>
      <c r="F164" s="39"/>
      <c r="G164" s="39"/>
      <c r="H164" s="39"/>
      <c r="I164" s="39"/>
      <c r="J164" s="39"/>
    </row>
    <row r="165" spans="1:10" ht="15.75" customHeight="1" x14ac:dyDescent="0.15">
      <c r="A165" s="38"/>
      <c r="F165" s="39"/>
      <c r="G165" s="39"/>
      <c r="H165" s="39"/>
      <c r="I165" s="39"/>
      <c r="J165" s="39"/>
    </row>
    <row r="166" spans="1:10" ht="15.75" customHeight="1" x14ac:dyDescent="0.15">
      <c r="A166" s="38"/>
      <c r="F166" s="39"/>
      <c r="G166" s="39"/>
      <c r="H166" s="39"/>
      <c r="I166" s="39"/>
      <c r="J166" s="39"/>
    </row>
    <row r="167" spans="1:10" ht="15.75" customHeight="1" x14ac:dyDescent="0.15">
      <c r="A167" s="38"/>
      <c r="F167" s="39"/>
      <c r="G167" s="39"/>
      <c r="H167" s="39"/>
      <c r="I167" s="39"/>
      <c r="J167" s="39"/>
    </row>
    <row r="168" spans="1:10" ht="15.75" customHeight="1" x14ac:dyDescent="0.15">
      <c r="A168" s="38"/>
      <c r="F168" s="39"/>
      <c r="G168" s="39"/>
      <c r="H168" s="39"/>
      <c r="I168" s="39"/>
      <c r="J168" s="39"/>
    </row>
    <row r="169" spans="1:10" ht="15.75" customHeight="1" x14ac:dyDescent="0.15">
      <c r="A169" s="38"/>
      <c r="F169" s="39"/>
      <c r="G169" s="39"/>
      <c r="H169" s="39"/>
      <c r="I169" s="39"/>
      <c r="J169" s="39"/>
    </row>
    <row r="170" spans="1:10" ht="15.75" customHeight="1" x14ac:dyDescent="0.15">
      <c r="A170" s="38"/>
      <c r="F170" s="39"/>
      <c r="G170" s="39"/>
      <c r="H170" s="39"/>
      <c r="I170" s="39"/>
      <c r="J170" s="39"/>
    </row>
    <row r="171" spans="1:10" ht="15.75" customHeight="1" x14ac:dyDescent="0.15">
      <c r="A171" s="38"/>
      <c r="F171" s="39"/>
      <c r="G171" s="39"/>
      <c r="H171" s="39"/>
      <c r="I171" s="39"/>
      <c r="J171" s="39"/>
    </row>
    <row r="172" spans="1:10" ht="15.75" customHeight="1" x14ac:dyDescent="0.15">
      <c r="A172" s="38"/>
      <c r="F172" s="39"/>
      <c r="G172" s="39"/>
      <c r="H172" s="39"/>
      <c r="I172" s="39"/>
      <c r="J172" s="39"/>
    </row>
    <row r="173" spans="1:10" ht="15.75" customHeight="1" x14ac:dyDescent="0.15">
      <c r="A173" s="38"/>
      <c r="F173" s="39"/>
      <c r="G173" s="39"/>
      <c r="H173" s="39"/>
      <c r="I173" s="39"/>
      <c r="J173" s="39"/>
    </row>
    <row r="174" spans="1:10" ht="15.75" customHeight="1" x14ac:dyDescent="0.15">
      <c r="A174" s="38"/>
      <c r="F174" s="39"/>
      <c r="G174" s="39"/>
      <c r="H174" s="39"/>
      <c r="I174" s="39"/>
      <c r="J174" s="39"/>
    </row>
    <row r="175" spans="1:10" ht="15.75" customHeight="1" x14ac:dyDescent="0.15">
      <c r="A175" s="38"/>
      <c r="F175" s="39"/>
      <c r="G175" s="39"/>
      <c r="H175" s="39"/>
      <c r="I175" s="39"/>
      <c r="J175" s="39"/>
    </row>
    <row r="176" spans="1:10" ht="15.75" customHeight="1" x14ac:dyDescent="0.15">
      <c r="A176" s="38"/>
      <c r="F176" s="39"/>
      <c r="G176" s="39"/>
      <c r="H176" s="39"/>
      <c r="I176" s="39"/>
      <c r="J176" s="39"/>
    </row>
    <row r="177" spans="1:10" ht="15.75" customHeight="1" x14ac:dyDescent="0.15">
      <c r="A177" s="38"/>
      <c r="F177" s="39"/>
      <c r="G177" s="39"/>
      <c r="H177" s="39"/>
      <c r="I177" s="39"/>
      <c r="J177" s="39"/>
    </row>
    <row r="178" spans="1:10" ht="15.75" customHeight="1" x14ac:dyDescent="0.15">
      <c r="A178" s="38"/>
      <c r="F178" s="39"/>
      <c r="G178" s="39"/>
      <c r="H178" s="39"/>
      <c r="I178" s="39"/>
      <c r="J178" s="39"/>
    </row>
    <row r="179" spans="1:10" ht="15.75" customHeight="1" x14ac:dyDescent="0.15">
      <c r="A179" s="38"/>
      <c r="F179" s="39"/>
      <c r="G179" s="39"/>
      <c r="H179" s="39"/>
      <c r="I179" s="39"/>
      <c r="J179" s="39"/>
    </row>
    <row r="180" spans="1:10" ht="15.75" customHeight="1" x14ac:dyDescent="0.15">
      <c r="A180" s="38"/>
      <c r="F180" s="39"/>
      <c r="G180" s="39"/>
      <c r="H180" s="39"/>
      <c r="I180" s="39"/>
      <c r="J180" s="39"/>
    </row>
    <row r="181" spans="1:10" ht="15.75" customHeight="1" x14ac:dyDescent="0.15">
      <c r="A181" s="38"/>
      <c r="F181" s="39"/>
      <c r="G181" s="39"/>
      <c r="H181" s="39"/>
      <c r="I181" s="39"/>
      <c r="J181" s="39"/>
    </row>
    <row r="182" spans="1:10" ht="15.75" customHeight="1" x14ac:dyDescent="0.15">
      <c r="A182" s="38"/>
      <c r="F182" s="39"/>
      <c r="G182" s="39"/>
      <c r="H182" s="39"/>
      <c r="I182" s="39"/>
      <c r="J182" s="39"/>
    </row>
    <row r="183" spans="1:10" ht="15.75" customHeight="1" x14ac:dyDescent="0.15">
      <c r="A183" s="38"/>
      <c r="F183" s="39"/>
      <c r="G183" s="39"/>
      <c r="H183" s="39"/>
      <c r="I183" s="39"/>
      <c r="J183" s="39"/>
    </row>
    <row r="184" spans="1:10" ht="15.75" customHeight="1" x14ac:dyDescent="0.15">
      <c r="A184" s="38"/>
      <c r="F184" s="39"/>
      <c r="G184" s="39"/>
      <c r="H184" s="39"/>
      <c r="I184" s="39"/>
      <c r="J184" s="39"/>
    </row>
    <row r="185" spans="1:10" ht="15.75" customHeight="1" x14ac:dyDescent="0.15">
      <c r="A185" s="38"/>
      <c r="F185" s="39"/>
      <c r="G185" s="39"/>
      <c r="H185" s="39"/>
      <c r="I185" s="39"/>
      <c r="J185" s="39"/>
    </row>
    <row r="186" spans="1:10" ht="15.75" customHeight="1" x14ac:dyDescent="0.15">
      <c r="A186" s="38"/>
      <c r="F186" s="39"/>
      <c r="G186" s="39"/>
      <c r="H186" s="39"/>
      <c r="I186" s="39"/>
      <c r="J186" s="39"/>
    </row>
    <row r="187" spans="1:10" ht="15.75" customHeight="1" x14ac:dyDescent="0.15">
      <c r="A187" s="38"/>
      <c r="F187" s="39"/>
      <c r="G187" s="39"/>
      <c r="H187" s="39"/>
      <c r="I187" s="39"/>
      <c r="J187" s="39"/>
    </row>
    <row r="188" spans="1:10" ht="15.75" customHeight="1" x14ac:dyDescent="0.15">
      <c r="A188" s="38"/>
      <c r="F188" s="39"/>
      <c r="G188" s="39"/>
      <c r="H188" s="39"/>
      <c r="I188" s="39"/>
      <c r="J188" s="39"/>
    </row>
    <row r="189" spans="1:10" ht="15.75" customHeight="1" x14ac:dyDescent="0.15">
      <c r="A189" s="38"/>
      <c r="F189" s="39"/>
      <c r="G189" s="39"/>
      <c r="H189" s="39"/>
      <c r="I189" s="39"/>
      <c r="J189" s="39"/>
    </row>
    <row r="190" spans="1:10" ht="15.75" customHeight="1" x14ac:dyDescent="0.15">
      <c r="A190" s="38"/>
      <c r="F190" s="39"/>
      <c r="G190" s="39"/>
      <c r="H190" s="39"/>
      <c r="I190" s="39"/>
      <c r="J190" s="39"/>
    </row>
    <row r="191" spans="1:10" ht="15.75" customHeight="1" x14ac:dyDescent="0.15">
      <c r="A191" s="38"/>
      <c r="F191" s="39"/>
      <c r="G191" s="39"/>
      <c r="H191" s="39"/>
      <c r="I191" s="39"/>
      <c r="J191" s="39"/>
    </row>
    <row r="192" spans="1:10" ht="15.75" customHeight="1" x14ac:dyDescent="0.15">
      <c r="A192" s="38"/>
      <c r="F192" s="39"/>
      <c r="G192" s="39"/>
      <c r="H192" s="39"/>
      <c r="I192" s="39"/>
      <c r="J192" s="39"/>
    </row>
    <row r="193" spans="1:10" ht="15.75" customHeight="1" x14ac:dyDescent="0.15">
      <c r="A193" s="38"/>
      <c r="F193" s="39"/>
      <c r="G193" s="39"/>
      <c r="H193" s="39"/>
      <c r="I193" s="39"/>
      <c r="J193" s="39"/>
    </row>
    <row r="194" spans="1:10" ht="15.75" customHeight="1" x14ac:dyDescent="0.15">
      <c r="A194" s="38"/>
      <c r="F194" s="39"/>
      <c r="G194" s="39"/>
      <c r="H194" s="39"/>
      <c r="I194" s="39"/>
      <c r="J194" s="39"/>
    </row>
    <row r="195" spans="1:10" ht="15.75" customHeight="1" x14ac:dyDescent="0.15">
      <c r="A195" s="38"/>
      <c r="F195" s="39"/>
      <c r="G195" s="39"/>
      <c r="H195" s="39"/>
      <c r="I195" s="39"/>
      <c r="J195" s="39"/>
    </row>
    <row r="196" spans="1:10" ht="15.75" customHeight="1" x14ac:dyDescent="0.15">
      <c r="A196" s="38"/>
      <c r="F196" s="39"/>
      <c r="G196" s="39"/>
      <c r="H196" s="39"/>
      <c r="I196" s="39"/>
      <c r="J196" s="39"/>
    </row>
    <row r="197" spans="1:10" ht="15.75" customHeight="1" x14ac:dyDescent="0.15">
      <c r="A197" s="38"/>
      <c r="F197" s="39"/>
      <c r="G197" s="39"/>
      <c r="H197" s="39"/>
      <c r="I197" s="39"/>
      <c r="J197" s="39"/>
    </row>
    <row r="198" spans="1:10" ht="15.75" customHeight="1" x14ac:dyDescent="0.15">
      <c r="A198" s="38"/>
      <c r="F198" s="39"/>
      <c r="G198" s="39"/>
      <c r="H198" s="39"/>
      <c r="I198" s="39"/>
      <c r="J198" s="39"/>
    </row>
    <row r="199" spans="1:10" ht="15.75" customHeight="1" x14ac:dyDescent="0.15">
      <c r="A199" s="38"/>
      <c r="F199" s="39"/>
      <c r="G199" s="39"/>
      <c r="H199" s="39"/>
      <c r="I199" s="39"/>
      <c r="J199" s="39"/>
    </row>
    <row r="200" spans="1:10" ht="15.75" customHeight="1" x14ac:dyDescent="0.15">
      <c r="A200" s="38"/>
      <c r="F200" s="39"/>
      <c r="G200" s="39"/>
      <c r="H200" s="39"/>
      <c r="I200" s="39"/>
      <c r="J200" s="39"/>
    </row>
    <row r="201" spans="1:10" ht="15.75" customHeight="1" x14ac:dyDescent="0.15">
      <c r="A201" s="38"/>
      <c r="F201" s="39"/>
      <c r="G201" s="39"/>
      <c r="H201" s="39"/>
      <c r="I201" s="39"/>
      <c r="J201" s="39"/>
    </row>
    <row r="202" spans="1:10" ht="15.75" customHeight="1" x14ac:dyDescent="0.15">
      <c r="A202" s="38"/>
      <c r="F202" s="39"/>
      <c r="G202" s="39"/>
      <c r="H202" s="39"/>
      <c r="I202" s="39"/>
      <c r="J202" s="39"/>
    </row>
    <row r="203" spans="1:10" ht="15.75" customHeight="1" x14ac:dyDescent="0.15">
      <c r="A203" s="38"/>
      <c r="F203" s="39"/>
      <c r="G203" s="39"/>
      <c r="H203" s="39"/>
      <c r="I203" s="39"/>
      <c r="J203" s="39"/>
    </row>
    <row r="204" spans="1:10" ht="15.75" customHeight="1" x14ac:dyDescent="0.15">
      <c r="A204" s="38"/>
      <c r="F204" s="39"/>
      <c r="G204" s="39"/>
      <c r="H204" s="39"/>
      <c r="I204" s="39"/>
      <c r="J204" s="39"/>
    </row>
    <row r="205" spans="1:10" ht="15.75" customHeight="1" x14ac:dyDescent="0.15">
      <c r="A205" s="38"/>
      <c r="F205" s="39"/>
      <c r="G205" s="39"/>
      <c r="H205" s="39"/>
      <c r="I205" s="39"/>
      <c r="J205" s="39"/>
    </row>
    <row r="206" spans="1:10" ht="15.75" customHeight="1" x14ac:dyDescent="0.15">
      <c r="A206" s="38"/>
      <c r="F206" s="39"/>
      <c r="G206" s="39"/>
      <c r="H206" s="39"/>
      <c r="I206" s="39"/>
      <c r="J206" s="39"/>
    </row>
    <row r="207" spans="1:10" ht="15.75" customHeight="1" x14ac:dyDescent="0.15">
      <c r="A207" s="38"/>
      <c r="F207" s="39"/>
      <c r="G207" s="39"/>
      <c r="H207" s="39"/>
      <c r="I207" s="39"/>
      <c r="J207" s="39"/>
    </row>
    <row r="208" spans="1:10" ht="15.75" customHeight="1" x14ac:dyDescent="0.15">
      <c r="A208" s="38"/>
      <c r="F208" s="39"/>
      <c r="G208" s="39"/>
      <c r="H208" s="39"/>
      <c r="I208" s="39"/>
      <c r="J208" s="39"/>
    </row>
    <row r="209" spans="1:10" ht="15.75" customHeight="1" x14ac:dyDescent="0.15">
      <c r="A209" s="38"/>
      <c r="F209" s="39"/>
      <c r="G209" s="39"/>
      <c r="H209" s="39"/>
      <c r="I209" s="39"/>
      <c r="J209" s="39"/>
    </row>
    <row r="210" spans="1:10" ht="15.75" customHeight="1" x14ac:dyDescent="0.15">
      <c r="A210" s="38"/>
      <c r="F210" s="39"/>
      <c r="G210" s="39"/>
      <c r="H210" s="39"/>
      <c r="I210" s="39"/>
      <c r="J210" s="39"/>
    </row>
    <row r="211" spans="1:10" ht="15.75" customHeight="1" x14ac:dyDescent="0.15">
      <c r="A211" s="38"/>
      <c r="F211" s="39"/>
      <c r="G211" s="39"/>
      <c r="H211" s="39"/>
      <c r="I211" s="39"/>
      <c r="J211" s="39"/>
    </row>
    <row r="212" spans="1:10" ht="15.75" customHeight="1" x14ac:dyDescent="0.15">
      <c r="A212" s="38"/>
      <c r="F212" s="39"/>
      <c r="G212" s="39"/>
      <c r="H212" s="39"/>
      <c r="I212" s="39"/>
      <c r="J212" s="39"/>
    </row>
    <row r="213" spans="1:10" ht="15.75" customHeight="1" x14ac:dyDescent="0.15">
      <c r="A213" s="38"/>
      <c r="F213" s="39"/>
      <c r="G213" s="39"/>
      <c r="H213" s="39"/>
      <c r="I213" s="39"/>
      <c r="J213" s="39"/>
    </row>
    <row r="214" spans="1:10" ht="15.75" customHeight="1" x14ac:dyDescent="0.15">
      <c r="A214" s="38"/>
      <c r="F214" s="39"/>
      <c r="G214" s="39"/>
      <c r="H214" s="39"/>
      <c r="I214" s="39"/>
      <c r="J214" s="39"/>
    </row>
    <row r="215" spans="1:10" ht="15.75" customHeight="1" x14ac:dyDescent="0.15">
      <c r="A215" s="38"/>
      <c r="F215" s="39"/>
      <c r="G215" s="39"/>
      <c r="H215" s="39"/>
      <c r="I215" s="39"/>
      <c r="J215" s="39"/>
    </row>
    <row r="216" spans="1:10" ht="15.75" customHeight="1" x14ac:dyDescent="0.15">
      <c r="A216" s="38"/>
      <c r="F216" s="39"/>
      <c r="G216" s="39"/>
      <c r="H216" s="39"/>
      <c r="I216" s="39"/>
      <c r="J216" s="39"/>
    </row>
    <row r="217" spans="1:10" ht="15.75" customHeight="1" x14ac:dyDescent="0.15">
      <c r="A217" s="38"/>
      <c r="F217" s="39"/>
      <c r="G217" s="39"/>
      <c r="H217" s="39"/>
      <c r="I217" s="39"/>
      <c r="J217" s="39"/>
    </row>
    <row r="218" spans="1:10" ht="15.75" customHeight="1" x14ac:dyDescent="0.15">
      <c r="A218" s="38"/>
      <c r="F218" s="39"/>
      <c r="G218" s="39"/>
      <c r="H218" s="39"/>
      <c r="I218" s="39"/>
      <c r="J218" s="39"/>
    </row>
    <row r="219" spans="1:10" ht="15.75" customHeight="1" x14ac:dyDescent="0.15">
      <c r="A219" s="38"/>
      <c r="F219" s="39"/>
      <c r="G219" s="39"/>
      <c r="H219" s="39"/>
      <c r="I219" s="39"/>
      <c r="J219" s="39"/>
    </row>
    <row r="220" spans="1:10" ht="15.75" customHeight="1" x14ac:dyDescent="0.15">
      <c r="A220" s="38"/>
      <c r="F220" s="39"/>
      <c r="G220" s="39"/>
      <c r="H220" s="39"/>
      <c r="I220" s="39"/>
      <c r="J220" s="39"/>
    </row>
    <row r="221" spans="1:10" ht="15.75" customHeight="1" x14ac:dyDescent="0.15">
      <c r="A221" s="38"/>
      <c r="F221" s="39"/>
      <c r="G221" s="39"/>
      <c r="H221" s="39"/>
      <c r="I221" s="39"/>
      <c r="J221" s="39"/>
    </row>
    <row r="222" spans="1:10" ht="15.75" customHeight="1" x14ac:dyDescent="0.15">
      <c r="A222" s="38"/>
      <c r="F222" s="39"/>
      <c r="G222" s="39"/>
      <c r="H222" s="39"/>
      <c r="I222" s="39"/>
      <c r="J222" s="39"/>
    </row>
    <row r="223" spans="1:10" ht="15.75" customHeight="1" x14ac:dyDescent="0.15">
      <c r="A223" s="38"/>
      <c r="F223" s="39"/>
      <c r="G223" s="39"/>
      <c r="H223" s="39"/>
      <c r="I223" s="39"/>
      <c r="J223" s="39"/>
    </row>
    <row r="224" spans="1:10" ht="15.75" customHeight="1" x14ac:dyDescent="0.15">
      <c r="A224" s="38"/>
      <c r="F224" s="39"/>
      <c r="G224" s="39"/>
      <c r="H224" s="39"/>
      <c r="I224" s="39"/>
      <c r="J224" s="39"/>
    </row>
    <row r="225" spans="1:10" ht="15.75" customHeight="1" x14ac:dyDescent="0.15">
      <c r="A225" s="38"/>
      <c r="F225" s="39"/>
      <c r="G225" s="39"/>
      <c r="H225" s="39"/>
      <c r="I225" s="39"/>
      <c r="J225" s="39"/>
    </row>
    <row r="226" spans="1:10" ht="15.75" customHeight="1" x14ac:dyDescent="0.15">
      <c r="A226" s="38"/>
      <c r="F226" s="39"/>
      <c r="G226" s="39"/>
      <c r="H226" s="39"/>
      <c r="I226" s="39"/>
      <c r="J226" s="39"/>
    </row>
    <row r="227" spans="1:10" ht="15.75" customHeight="1" x14ac:dyDescent="0.15">
      <c r="A227" s="38"/>
      <c r="F227" s="39"/>
      <c r="G227" s="39"/>
      <c r="H227" s="39"/>
      <c r="I227" s="39"/>
      <c r="J227" s="39"/>
    </row>
    <row r="228" spans="1:10" ht="15.75" customHeight="1" x14ac:dyDescent="0.15">
      <c r="A228" s="38"/>
      <c r="F228" s="39"/>
      <c r="G228" s="39"/>
      <c r="H228" s="39"/>
      <c r="I228" s="39"/>
      <c r="J228" s="39"/>
    </row>
    <row r="229" spans="1:10" ht="15.75" customHeight="1" x14ac:dyDescent="0.15">
      <c r="A229" s="38"/>
      <c r="F229" s="39"/>
      <c r="G229" s="39"/>
      <c r="H229" s="39"/>
      <c r="I229" s="39"/>
      <c r="J229" s="39"/>
    </row>
    <row r="230" spans="1:10" ht="15.75" customHeight="1" x14ac:dyDescent="0.15">
      <c r="A230" s="38"/>
      <c r="F230" s="39"/>
      <c r="G230" s="39"/>
      <c r="H230" s="39"/>
      <c r="I230" s="39"/>
      <c r="J230" s="39"/>
    </row>
    <row r="231" spans="1:10" ht="15.75" customHeight="1" x14ac:dyDescent="0.15">
      <c r="A231" s="38"/>
      <c r="F231" s="39"/>
      <c r="G231" s="39"/>
      <c r="H231" s="39"/>
      <c r="I231" s="39"/>
      <c r="J231" s="39"/>
    </row>
    <row r="232" spans="1:10" ht="15.75" customHeight="1" x14ac:dyDescent="0.15">
      <c r="A232" s="38"/>
      <c r="F232" s="39"/>
      <c r="G232" s="39"/>
      <c r="H232" s="39"/>
      <c r="I232" s="39"/>
      <c r="J232" s="39"/>
    </row>
    <row r="233" spans="1:10" ht="15.75" customHeight="1" x14ac:dyDescent="0.15">
      <c r="A233" s="38"/>
      <c r="F233" s="39"/>
      <c r="G233" s="39"/>
      <c r="H233" s="39"/>
      <c r="I233" s="39"/>
      <c r="J233" s="39"/>
    </row>
    <row r="234" spans="1:10" ht="15.75" customHeight="1" x14ac:dyDescent="0.15">
      <c r="A234" s="38"/>
      <c r="F234" s="39"/>
      <c r="G234" s="39"/>
      <c r="H234" s="39"/>
      <c r="I234" s="39"/>
      <c r="J234" s="39"/>
    </row>
    <row r="235" spans="1:10" ht="15.75" customHeight="1" x14ac:dyDescent="0.15">
      <c r="A235" s="38"/>
      <c r="F235" s="39"/>
      <c r="G235" s="39"/>
      <c r="H235" s="39"/>
      <c r="I235" s="39"/>
      <c r="J235" s="39"/>
    </row>
    <row r="236" spans="1:10" ht="15.75" customHeight="1" x14ac:dyDescent="0.15">
      <c r="A236" s="38"/>
      <c r="F236" s="39"/>
      <c r="G236" s="39"/>
      <c r="H236" s="39"/>
      <c r="I236" s="39"/>
      <c r="J236" s="39"/>
    </row>
    <row r="237" spans="1:10" ht="15.75" customHeight="1" x14ac:dyDescent="0.15">
      <c r="A237" s="38"/>
      <c r="F237" s="39"/>
      <c r="G237" s="39"/>
      <c r="H237" s="39"/>
      <c r="I237" s="39"/>
      <c r="J237" s="39"/>
    </row>
    <row r="238" spans="1:10" ht="15.75" customHeight="1" x14ac:dyDescent="0.15">
      <c r="A238" s="38"/>
      <c r="F238" s="39"/>
      <c r="G238" s="39"/>
      <c r="H238" s="39"/>
      <c r="I238" s="39"/>
      <c r="J238" s="39"/>
    </row>
    <row r="239" spans="1:10" ht="15.75" customHeight="1" x14ac:dyDescent="0.15">
      <c r="A239" s="38"/>
      <c r="F239" s="39"/>
      <c r="G239" s="39"/>
      <c r="H239" s="39"/>
      <c r="I239" s="39"/>
      <c r="J239" s="39"/>
    </row>
    <row r="240" spans="1:10" ht="15.75" customHeight="1" x14ac:dyDescent="0.15">
      <c r="A240" s="38"/>
      <c r="F240" s="39"/>
      <c r="G240" s="39"/>
      <c r="H240" s="39"/>
      <c r="I240" s="39"/>
      <c r="J240" s="39"/>
    </row>
    <row r="241" spans="1:10" ht="15.75" customHeight="1" x14ac:dyDescent="0.15">
      <c r="A241" s="38"/>
      <c r="F241" s="39"/>
      <c r="G241" s="39"/>
      <c r="H241" s="39"/>
      <c r="I241" s="39"/>
      <c r="J241" s="39"/>
    </row>
    <row r="242" spans="1:10" ht="15.75" customHeight="1" x14ac:dyDescent="0.15">
      <c r="A242" s="38"/>
      <c r="F242" s="39"/>
      <c r="G242" s="39"/>
      <c r="H242" s="39"/>
      <c r="I242" s="39"/>
      <c r="J242" s="39"/>
    </row>
    <row r="243" spans="1:10" ht="15.75" customHeight="1" x14ac:dyDescent="0.15">
      <c r="A243" s="38"/>
      <c r="F243" s="39"/>
      <c r="G243" s="39"/>
      <c r="H243" s="39"/>
      <c r="I243" s="39"/>
      <c r="J243" s="39"/>
    </row>
    <row r="244" spans="1:10" ht="15.75" customHeight="1" x14ac:dyDescent="0.15">
      <c r="A244" s="38"/>
      <c r="F244" s="39"/>
      <c r="G244" s="39"/>
      <c r="H244" s="39"/>
      <c r="I244" s="39"/>
      <c r="J244" s="39"/>
    </row>
    <row r="245" spans="1:10" ht="15.75" customHeight="1" x14ac:dyDescent="0.15">
      <c r="A245" s="38"/>
      <c r="F245" s="39"/>
      <c r="G245" s="39"/>
      <c r="H245" s="39"/>
      <c r="I245" s="39"/>
      <c r="J245" s="39"/>
    </row>
    <row r="246" spans="1:10" ht="15.75" customHeight="1" x14ac:dyDescent="0.15">
      <c r="A246" s="38"/>
      <c r="F246" s="39"/>
      <c r="G246" s="39"/>
      <c r="H246" s="39"/>
      <c r="I246" s="39"/>
      <c r="J246" s="39"/>
    </row>
    <row r="247" spans="1:10" ht="15.75" customHeight="1" x14ac:dyDescent="0.15">
      <c r="A247" s="38"/>
      <c r="F247" s="39"/>
      <c r="G247" s="39"/>
      <c r="H247" s="39"/>
      <c r="I247" s="39"/>
      <c r="J247" s="39"/>
    </row>
    <row r="248" spans="1:10" ht="15.75" customHeight="1" x14ac:dyDescent="0.15">
      <c r="A248" s="38"/>
      <c r="F248" s="39"/>
      <c r="G248" s="39"/>
      <c r="H248" s="39"/>
      <c r="I248" s="39"/>
      <c r="J248" s="39"/>
    </row>
    <row r="249" spans="1:10" ht="15.75" customHeight="1" x14ac:dyDescent="0.15">
      <c r="A249" s="38"/>
      <c r="F249" s="39"/>
      <c r="G249" s="39"/>
      <c r="H249" s="39"/>
      <c r="I249" s="39"/>
      <c r="J249" s="39"/>
    </row>
    <row r="250" spans="1:10" ht="15.75" customHeight="1" x14ac:dyDescent="0.15">
      <c r="A250" s="38"/>
      <c r="F250" s="39"/>
      <c r="G250" s="39"/>
      <c r="H250" s="39"/>
      <c r="I250" s="39"/>
      <c r="J250" s="39"/>
    </row>
    <row r="251" spans="1:10" ht="15.75" customHeight="1" x14ac:dyDescent="0.15">
      <c r="A251" s="38"/>
      <c r="F251" s="39"/>
      <c r="G251" s="39"/>
      <c r="H251" s="39"/>
      <c r="I251" s="39"/>
      <c r="J251" s="39"/>
    </row>
    <row r="252" spans="1:10" ht="15.75" customHeight="1" x14ac:dyDescent="0.15">
      <c r="A252" s="38"/>
      <c r="F252" s="39"/>
      <c r="G252" s="39"/>
      <c r="H252" s="39"/>
      <c r="I252" s="39"/>
      <c r="J252" s="39"/>
    </row>
    <row r="253" spans="1:10" ht="15.75" customHeight="1" x14ac:dyDescent="0.15">
      <c r="A253" s="38"/>
      <c r="F253" s="39"/>
      <c r="G253" s="39"/>
      <c r="H253" s="39"/>
      <c r="I253" s="39"/>
      <c r="J253" s="39"/>
    </row>
    <row r="254" spans="1:10" ht="15.75" customHeight="1" x14ac:dyDescent="0.15">
      <c r="A254" s="38"/>
      <c r="F254" s="39"/>
      <c r="G254" s="39"/>
      <c r="H254" s="39"/>
      <c r="I254" s="39"/>
      <c r="J254" s="39"/>
    </row>
    <row r="255" spans="1:10" ht="15.75" customHeight="1" x14ac:dyDescent="0.15">
      <c r="A255" s="38"/>
      <c r="F255" s="39"/>
      <c r="G255" s="39"/>
      <c r="H255" s="39"/>
      <c r="I255" s="39"/>
      <c r="J255" s="39"/>
    </row>
    <row r="256" spans="1:1" ht="15.75" customHeight="1" x14ac:dyDescent="0.15"/>
    <row r="257" spans="1:1" ht="15.75" customHeight="1" x14ac:dyDescent="0.15"/>
    <row r="258" spans="1:1" ht="15.75" customHeight="1" x14ac:dyDescent="0.15"/>
    <row r="259" spans="1:1" ht="15.75" customHeight="1" x14ac:dyDescent="0.15"/>
    <row r="260" spans="1:1" ht="15.75" customHeight="1" x14ac:dyDescent="0.15"/>
    <row r="261" spans="1:1" ht="15.75" customHeight="1" x14ac:dyDescent="0.15"/>
    <row r="262" spans="1:1" ht="15.75" customHeight="1" x14ac:dyDescent="0.15"/>
    <row r="263" spans="1:1" ht="15.75" customHeight="1" x14ac:dyDescent="0.15"/>
    <row r="264" spans="1:1" ht="15.75" customHeight="1" x14ac:dyDescent="0.15"/>
    <row r="265" spans="1:1" ht="15.75" customHeight="1" x14ac:dyDescent="0.15"/>
    <row r="266" spans="1:1" ht="15.75" customHeight="1" x14ac:dyDescent="0.15"/>
    <row r="267" spans="1:1" ht="15.75" customHeight="1" x14ac:dyDescent="0.15"/>
    <row r="268" spans="1:1" ht="15.75" customHeight="1" x14ac:dyDescent="0.15"/>
    <row r="269" spans="1:1" ht="15.75" customHeight="1" x14ac:dyDescent="0.15"/>
    <row r="270" spans="1:1" ht="15.75" customHeight="1" x14ac:dyDescent="0.15"/>
    <row r="271" spans="1:1" ht="15.75" customHeight="1" x14ac:dyDescent="0.15"/>
    <row r="272" spans="1:1" ht="15.75" customHeight="1" x14ac:dyDescent="0.15"/>
    <row r="273" spans="1:1" ht="15.75" customHeight="1" x14ac:dyDescent="0.15"/>
    <row r="274" spans="1:1" ht="15.75" customHeight="1" x14ac:dyDescent="0.15"/>
    <row r="275" spans="1:1" ht="15.75" customHeight="1" x14ac:dyDescent="0.15"/>
    <row r="276" spans="1:1" ht="15.75" customHeight="1" x14ac:dyDescent="0.15"/>
    <row r="277" spans="1:1" ht="15.75" customHeight="1" x14ac:dyDescent="0.15"/>
    <row r="278" spans="1:1" ht="15.75" customHeight="1" x14ac:dyDescent="0.15"/>
    <row r="279" spans="1:1" ht="15.75" customHeight="1" x14ac:dyDescent="0.15"/>
    <row r="280" spans="1:1" ht="15.75" customHeight="1" x14ac:dyDescent="0.15"/>
    <row r="281" spans="1:1" ht="15.75" customHeight="1" x14ac:dyDescent="0.15"/>
    <row r="282" spans="1:1" ht="15.75" customHeight="1" x14ac:dyDescent="0.15"/>
    <row r="283" spans="1:1" ht="15.75" customHeight="1" x14ac:dyDescent="0.15"/>
    <row r="284" spans="1:1" ht="15.75" customHeight="1" x14ac:dyDescent="0.15"/>
    <row r="285" spans="1:1" ht="15.75" customHeight="1" x14ac:dyDescent="0.15"/>
    <row r="286" spans="1:1" ht="15.75" customHeight="1" x14ac:dyDescent="0.15"/>
    <row r="287" spans="1:1" ht="15.75" customHeight="1" x14ac:dyDescent="0.15"/>
    <row r="288" spans="1:1" ht="15.75" customHeight="1" x14ac:dyDescent="0.15"/>
    <row r="289" spans="1:1" ht="15.75" customHeight="1" x14ac:dyDescent="0.15"/>
    <row r="290" spans="1:1" ht="15.75" customHeight="1" x14ac:dyDescent="0.15"/>
    <row r="291" spans="1:1" ht="15.75" customHeight="1" x14ac:dyDescent="0.15"/>
    <row r="292" spans="1:1" ht="15.75" customHeight="1" x14ac:dyDescent="0.15"/>
    <row r="293" spans="1:1" ht="15.75" customHeight="1" x14ac:dyDescent="0.15"/>
    <row r="294" spans="1:1" ht="15.75" customHeight="1" x14ac:dyDescent="0.15"/>
    <row r="295" spans="1:1" ht="15.75" customHeight="1" x14ac:dyDescent="0.15"/>
    <row r="296" spans="1:1" ht="15.75" customHeight="1" x14ac:dyDescent="0.15"/>
    <row r="297" spans="1:1" ht="15.75" customHeight="1" x14ac:dyDescent="0.15"/>
    <row r="298" spans="1:1" ht="15.75" customHeight="1" x14ac:dyDescent="0.15"/>
    <row r="299" spans="1:1" ht="15.75" customHeight="1" x14ac:dyDescent="0.15"/>
    <row r="300" spans="1:1" ht="15.75" customHeight="1" x14ac:dyDescent="0.15"/>
    <row r="301" spans="1:1" ht="15.75" customHeight="1" x14ac:dyDescent="0.15"/>
    <row r="302" spans="1:1" ht="15.75" customHeight="1" x14ac:dyDescent="0.15"/>
    <row r="303" spans="1:1" ht="15.75" customHeight="1" x14ac:dyDescent="0.15"/>
    <row r="304" spans="1:1" ht="15.75" customHeight="1" x14ac:dyDescent="0.15"/>
    <row r="305" spans="1:1" ht="15.75" customHeight="1" x14ac:dyDescent="0.15"/>
    <row r="306" spans="1:1" ht="15.75" customHeight="1" x14ac:dyDescent="0.15"/>
    <row r="307" spans="1:1" ht="15.75" customHeight="1" x14ac:dyDescent="0.15"/>
    <row r="308" spans="1:1" ht="15.75" customHeight="1" x14ac:dyDescent="0.15"/>
    <row r="309" spans="1:1" ht="15.75" customHeight="1" x14ac:dyDescent="0.15"/>
    <row r="310" spans="1:1" ht="15.75" customHeight="1" x14ac:dyDescent="0.15"/>
    <row r="311" spans="1:1" ht="15.75" customHeight="1" x14ac:dyDescent="0.15"/>
    <row r="312" spans="1:1" ht="15.75" customHeight="1" x14ac:dyDescent="0.15"/>
    <row r="313" spans="1:1" ht="15.75" customHeight="1" x14ac:dyDescent="0.15"/>
    <row r="314" spans="1:1" ht="15.75" customHeight="1" x14ac:dyDescent="0.15"/>
    <row r="315" spans="1:1" ht="15.75" customHeight="1" x14ac:dyDescent="0.15"/>
    <row r="316" spans="1:1" ht="15.75" customHeight="1" x14ac:dyDescent="0.15"/>
    <row r="317" spans="1:1" ht="15.75" customHeight="1" x14ac:dyDescent="0.15"/>
    <row r="318" spans="1:1" ht="15.75" customHeight="1" x14ac:dyDescent="0.15"/>
    <row r="319" spans="1:1" ht="15.75" customHeight="1" x14ac:dyDescent="0.15"/>
    <row r="320" spans="1:1" ht="15.75" customHeight="1" x14ac:dyDescent="0.15"/>
    <row r="321" spans="1:1" ht="15.75" customHeight="1" x14ac:dyDescent="0.15"/>
    <row r="322" spans="1:1" ht="15.75" customHeight="1" x14ac:dyDescent="0.15"/>
    <row r="323" spans="1:1" ht="15.75" customHeight="1" x14ac:dyDescent="0.15"/>
    <row r="324" spans="1:1" ht="15.75" customHeight="1" x14ac:dyDescent="0.15"/>
    <row r="325" spans="1:1" ht="15.75" customHeight="1" x14ac:dyDescent="0.15"/>
    <row r="326" spans="1:1" ht="15.75" customHeight="1" x14ac:dyDescent="0.15"/>
    <row r="327" spans="1:1" ht="15.75" customHeight="1" x14ac:dyDescent="0.15"/>
    <row r="328" spans="1:1" ht="15.75" customHeight="1" x14ac:dyDescent="0.15"/>
    <row r="329" spans="1:1" ht="15.75" customHeight="1" x14ac:dyDescent="0.15"/>
    <row r="330" spans="1:1" ht="15.75" customHeight="1" x14ac:dyDescent="0.15"/>
    <row r="331" spans="1:1" ht="15.75" customHeight="1" x14ac:dyDescent="0.15"/>
    <row r="332" spans="1:1" ht="15.75" customHeight="1" x14ac:dyDescent="0.15"/>
    <row r="333" spans="1:1" ht="15.75" customHeight="1" x14ac:dyDescent="0.15"/>
    <row r="334" spans="1:1" ht="15.75" customHeight="1" x14ac:dyDescent="0.15"/>
    <row r="335" spans="1:1" ht="15.75" customHeight="1" x14ac:dyDescent="0.15"/>
    <row r="336" spans="1:1" ht="15.75" customHeight="1" x14ac:dyDescent="0.15"/>
    <row r="337" spans="1:1" ht="15.75" customHeight="1" x14ac:dyDescent="0.15"/>
    <row r="338" spans="1:1" ht="15.75" customHeight="1" x14ac:dyDescent="0.15"/>
    <row r="339" spans="1:1" ht="15.75" customHeight="1" x14ac:dyDescent="0.15"/>
    <row r="340" spans="1:1" ht="15.75" customHeight="1" x14ac:dyDescent="0.15"/>
    <row r="341" spans="1:1" ht="15.75" customHeight="1" x14ac:dyDescent="0.15"/>
    <row r="342" spans="1:1" ht="15.75" customHeight="1" x14ac:dyDescent="0.15"/>
    <row r="343" spans="1:1" ht="15.75" customHeight="1" x14ac:dyDescent="0.15"/>
    <row r="344" spans="1:1" ht="15.75" customHeight="1" x14ac:dyDescent="0.15"/>
    <row r="345" spans="1:1" ht="15.75" customHeight="1" x14ac:dyDescent="0.15"/>
    <row r="346" spans="1:1" ht="15.75" customHeight="1" x14ac:dyDescent="0.15"/>
    <row r="347" spans="1:1" ht="15.75" customHeight="1" x14ac:dyDescent="0.15"/>
    <row r="348" spans="1:1" ht="15.75" customHeight="1" x14ac:dyDescent="0.15"/>
    <row r="349" spans="1:1" ht="15.75" customHeight="1" x14ac:dyDescent="0.15"/>
    <row r="350" spans="1:1" ht="15.75" customHeight="1" x14ac:dyDescent="0.15"/>
    <row r="351" spans="1:1" ht="15.75" customHeight="1" x14ac:dyDescent="0.15"/>
    <row r="352" spans="1:1" ht="15.75" customHeight="1" x14ac:dyDescent="0.15"/>
    <row r="353" spans="1:1" ht="15.75" customHeight="1" x14ac:dyDescent="0.15"/>
    <row r="354" spans="1:1" ht="15.75" customHeight="1" x14ac:dyDescent="0.15"/>
    <row r="355" spans="1:1" ht="15.75" customHeight="1" x14ac:dyDescent="0.15"/>
    <row r="356" spans="1:1" ht="15.75" customHeight="1" x14ac:dyDescent="0.15"/>
    <row r="357" spans="1:1" ht="15.75" customHeight="1" x14ac:dyDescent="0.15"/>
    <row r="358" spans="1:1" ht="15.75" customHeight="1" x14ac:dyDescent="0.15"/>
    <row r="359" spans="1:1" ht="15.75" customHeight="1" x14ac:dyDescent="0.15"/>
    <row r="360" spans="1:1" ht="15.75" customHeight="1" x14ac:dyDescent="0.15"/>
    <row r="361" spans="1:1" ht="15.75" customHeight="1" x14ac:dyDescent="0.15"/>
    <row r="362" spans="1:1" ht="15.75" customHeight="1" x14ac:dyDescent="0.15"/>
    <row r="363" spans="1:1" ht="15.75" customHeight="1" x14ac:dyDescent="0.15"/>
    <row r="364" spans="1:1" ht="15.75" customHeight="1" x14ac:dyDescent="0.15"/>
    <row r="365" spans="1:1" ht="15.75" customHeight="1" x14ac:dyDescent="0.15"/>
    <row r="366" spans="1:1" ht="15.75" customHeight="1" x14ac:dyDescent="0.15"/>
    <row r="367" spans="1:1" ht="15.75" customHeight="1" x14ac:dyDescent="0.15"/>
    <row r="368" spans="1:1" ht="15.75" customHeight="1" x14ac:dyDescent="0.15"/>
    <row r="369" spans="1:1" ht="15.75" customHeight="1" x14ac:dyDescent="0.15"/>
    <row r="370" spans="1:1" ht="15.75" customHeight="1" x14ac:dyDescent="0.15"/>
    <row r="371" spans="1:1" ht="15.75" customHeight="1" x14ac:dyDescent="0.15"/>
    <row r="372" spans="1:1" ht="15.75" customHeight="1" x14ac:dyDescent="0.15"/>
    <row r="373" spans="1:1" ht="15.75" customHeight="1" x14ac:dyDescent="0.15"/>
    <row r="374" spans="1:1" ht="15.75" customHeight="1" x14ac:dyDescent="0.15"/>
    <row r="375" spans="1:1" ht="15.75" customHeight="1" x14ac:dyDescent="0.15"/>
    <row r="376" spans="1:1" ht="15.75" customHeight="1" x14ac:dyDescent="0.15"/>
    <row r="377" spans="1:1" ht="15.75" customHeight="1" x14ac:dyDescent="0.15"/>
    <row r="378" spans="1:1" ht="15.75" customHeight="1" x14ac:dyDescent="0.15"/>
    <row r="379" spans="1:1" ht="15.75" customHeight="1" x14ac:dyDescent="0.15"/>
    <row r="380" spans="1:1" ht="15.75" customHeight="1" x14ac:dyDescent="0.15"/>
    <row r="381" spans="1:1" ht="15.75" customHeight="1" x14ac:dyDescent="0.15"/>
    <row r="382" spans="1:1" ht="15.75" customHeight="1" x14ac:dyDescent="0.15"/>
    <row r="383" spans="1:1" ht="15.75" customHeight="1" x14ac:dyDescent="0.15"/>
    <row r="384" spans="1:1" ht="15.75" customHeight="1" x14ac:dyDescent="0.15"/>
    <row r="385" spans="1:1" ht="15.75" customHeight="1" x14ac:dyDescent="0.15"/>
    <row r="386" spans="1:1" ht="15.75" customHeight="1" x14ac:dyDescent="0.15"/>
    <row r="387" spans="1:1" ht="15.75" customHeight="1" x14ac:dyDescent="0.15"/>
    <row r="388" spans="1:1" ht="15.75" customHeight="1" x14ac:dyDescent="0.15"/>
    <row r="389" spans="1:1" ht="15.75" customHeight="1" x14ac:dyDescent="0.15"/>
    <row r="390" spans="1:1" ht="15.75" customHeight="1" x14ac:dyDescent="0.15"/>
    <row r="391" spans="1:1" ht="15.75" customHeight="1" x14ac:dyDescent="0.15"/>
    <row r="392" spans="1:1" ht="15.75" customHeight="1" x14ac:dyDescent="0.15"/>
    <row r="393" spans="1:1" ht="15.75" customHeight="1" x14ac:dyDescent="0.15"/>
    <row r="394" spans="1:1" ht="15.75" customHeight="1" x14ac:dyDescent="0.15"/>
    <row r="395" spans="1:1" ht="15.75" customHeight="1" x14ac:dyDescent="0.15"/>
    <row r="396" spans="1:1" ht="15.75" customHeight="1" x14ac:dyDescent="0.15"/>
    <row r="397" spans="1:1" ht="15.75" customHeight="1" x14ac:dyDescent="0.15"/>
    <row r="398" spans="1:1" ht="15.75" customHeight="1" x14ac:dyDescent="0.15"/>
    <row r="399" spans="1:1" ht="15.75" customHeight="1" x14ac:dyDescent="0.15"/>
    <row r="400" spans="1:1" ht="15.75" customHeight="1" x14ac:dyDescent="0.15"/>
    <row r="401" spans="1:1" ht="15.75" customHeight="1" x14ac:dyDescent="0.15"/>
    <row r="402" spans="1:1" ht="15.75" customHeight="1" x14ac:dyDescent="0.15"/>
    <row r="403" spans="1:1" ht="15.75" customHeight="1" x14ac:dyDescent="0.15"/>
    <row r="404" spans="1:1" ht="15.75" customHeight="1" x14ac:dyDescent="0.15"/>
    <row r="405" spans="1:1" ht="15.75" customHeight="1" x14ac:dyDescent="0.15"/>
    <row r="406" spans="1:1" ht="15.75" customHeight="1" x14ac:dyDescent="0.15"/>
    <row r="407" spans="1:1" ht="15.75" customHeight="1" x14ac:dyDescent="0.15"/>
    <row r="408" spans="1:1" ht="15.75" customHeight="1" x14ac:dyDescent="0.15"/>
    <row r="409" spans="1:1" ht="15.75" customHeight="1" x14ac:dyDescent="0.15"/>
    <row r="410" spans="1:1" ht="15.75" customHeight="1" x14ac:dyDescent="0.15"/>
    <row r="411" spans="1:1" ht="15.75" customHeight="1" x14ac:dyDescent="0.15"/>
    <row r="412" spans="1:1" ht="15.75" customHeight="1" x14ac:dyDescent="0.15"/>
    <row r="413" spans="1:1" ht="15.75" customHeight="1" x14ac:dyDescent="0.15"/>
    <row r="414" spans="1:1" ht="15.75" customHeight="1" x14ac:dyDescent="0.15"/>
    <row r="415" spans="1:1" ht="15.75" customHeight="1" x14ac:dyDescent="0.15"/>
    <row r="416" spans="1:1" ht="15.75" customHeight="1" x14ac:dyDescent="0.15"/>
    <row r="417" spans="1:1" ht="15.75" customHeight="1" x14ac:dyDescent="0.15"/>
    <row r="418" spans="1:1" ht="15.75" customHeight="1" x14ac:dyDescent="0.15"/>
    <row r="419" spans="1:1" ht="15.75" customHeight="1" x14ac:dyDescent="0.15"/>
    <row r="420" spans="1:1" ht="15.75" customHeight="1" x14ac:dyDescent="0.15"/>
    <row r="421" spans="1:1" ht="15.75" customHeight="1" x14ac:dyDescent="0.15"/>
    <row r="422" spans="1:1" ht="15.75" customHeight="1" x14ac:dyDescent="0.15"/>
    <row r="423" spans="1:1" ht="15.75" customHeight="1" x14ac:dyDescent="0.15"/>
    <row r="424" spans="1:1" ht="15.75" customHeight="1" x14ac:dyDescent="0.15"/>
    <row r="425" spans="1:1" ht="15.75" customHeight="1" x14ac:dyDescent="0.15"/>
    <row r="426" spans="1:1" ht="15.75" customHeight="1" x14ac:dyDescent="0.15"/>
    <row r="427" spans="1:1" ht="15.75" customHeight="1" x14ac:dyDescent="0.15"/>
    <row r="428" spans="1:1" ht="15.75" customHeight="1" x14ac:dyDescent="0.15"/>
    <row r="429" spans="1:1" ht="15.75" customHeight="1" x14ac:dyDescent="0.15"/>
    <row r="430" spans="1:1" ht="15.75" customHeight="1" x14ac:dyDescent="0.15"/>
    <row r="431" spans="1:1" ht="15.75" customHeight="1" x14ac:dyDescent="0.15"/>
    <row r="432" spans="1:1" ht="15.75" customHeight="1" x14ac:dyDescent="0.15"/>
    <row r="433" spans="1:1" ht="15.75" customHeight="1" x14ac:dyDescent="0.15"/>
    <row r="434" spans="1:1" ht="15.75" customHeight="1" x14ac:dyDescent="0.15"/>
    <row r="435" spans="1:1" ht="15.75" customHeight="1" x14ac:dyDescent="0.15"/>
    <row r="436" spans="1:1" ht="15.75" customHeight="1" x14ac:dyDescent="0.15"/>
    <row r="437" spans="1:1" ht="15.75" customHeight="1" x14ac:dyDescent="0.15"/>
    <row r="438" spans="1:1" ht="15.75" customHeight="1" x14ac:dyDescent="0.15"/>
    <row r="439" spans="1:1" ht="15.75" customHeight="1" x14ac:dyDescent="0.15"/>
    <row r="440" spans="1:1" ht="15.75" customHeight="1" x14ac:dyDescent="0.15"/>
    <row r="441" spans="1:1" ht="15.75" customHeight="1" x14ac:dyDescent="0.15"/>
    <row r="442" spans="1:1" ht="15.75" customHeight="1" x14ac:dyDescent="0.15"/>
    <row r="443" spans="1:1" ht="15.75" customHeight="1" x14ac:dyDescent="0.15"/>
    <row r="444" spans="1:1" ht="15.75" customHeight="1" x14ac:dyDescent="0.15"/>
    <row r="445" spans="1:1" ht="15.75" customHeight="1" x14ac:dyDescent="0.15"/>
    <row r="446" spans="1:1" ht="15.75" customHeight="1" x14ac:dyDescent="0.15"/>
    <row r="447" spans="1:1" ht="15.75" customHeight="1" x14ac:dyDescent="0.15"/>
    <row r="448" spans="1:1" ht="15.75" customHeight="1" x14ac:dyDescent="0.15"/>
    <row r="449" spans="1:1" ht="15.75" customHeight="1" x14ac:dyDescent="0.15"/>
    <row r="450" spans="1:1" ht="15.75" customHeight="1" x14ac:dyDescent="0.15"/>
    <row r="451" spans="1:1" ht="15.75" customHeight="1" x14ac:dyDescent="0.15"/>
    <row r="452" spans="1:1" ht="15.75" customHeight="1" x14ac:dyDescent="0.15"/>
    <row r="453" spans="1:1" ht="15.75" customHeight="1" x14ac:dyDescent="0.15"/>
    <row r="454" spans="1:1" ht="15.75" customHeight="1" x14ac:dyDescent="0.15"/>
    <row r="455" spans="1:1" ht="15.75" customHeight="1" x14ac:dyDescent="0.15"/>
    <row r="456" spans="1:1" ht="15.75" customHeight="1" x14ac:dyDescent="0.15"/>
    <row r="457" spans="1:1" ht="15.75" customHeight="1" x14ac:dyDescent="0.15"/>
    <row r="458" spans="1:1" ht="15.75" customHeight="1" x14ac:dyDescent="0.15"/>
    <row r="459" spans="1:1" ht="15.75" customHeight="1" x14ac:dyDescent="0.15"/>
    <row r="460" spans="1:1" ht="15.75" customHeight="1" x14ac:dyDescent="0.15"/>
    <row r="461" spans="1:1" ht="15.75" customHeight="1" x14ac:dyDescent="0.15"/>
    <row r="462" spans="1:1" ht="15.75" customHeight="1" x14ac:dyDescent="0.15"/>
    <row r="463" spans="1:1" ht="15.75" customHeight="1" x14ac:dyDescent="0.15"/>
    <row r="464" spans="1:1" ht="15.75" customHeight="1" x14ac:dyDescent="0.15"/>
    <row r="465" spans="1:1" ht="15.75" customHeight="1" x14ac:dyDescent="0.15"/>
    <row r="466" spans="1:1" ht="15.75" customHeight="1" x14ac:dyDescent="0.15"/>
    <row r="467" spans="1:1" ht="15.75" customHeight="1" x14ac:dyDescent="0.15"/>
    <row r="468" spans="1:1" ht="15.75" customHeight="1" x14ac:dyDescent="0.15"/>
    <row r="469" spans="1:1" ht="15.75" customHeight="1" x14ac:dyDescent="0.15"/>
    <row r="470" spans="1:1" ht="15.75" customHeight="1" x14ac:dyDescent="0.15"/>
    <row r="471" spans="1:1" ht="15.75" customHeight="1" x14ac:dyDescent="0.15"/>
    <row r="472" spans="1:1" ht="15.75" customHeight="1" x14ac:dyDescent="0.15"/>
    <row r="473" spans="1:1" ht="15.75" customHeight="1" x14ac:dyDescent="0.15"/>
    <row r="474" spans="1:1" ht="15.75" customHeight="1" x14ac:dyDescent="0.15"/>
    <row r="475" spans="1:1" ht="15.75" customHeight="1" x14ac:dyDescent="0.15"/>
    <row r="476" spans="1:1" ht="15.75" customHeight="1" x14ac:dyDescent="0.15"/>
    <row r="477" spans="1:1" ht="15.75" customHeight="1" x14ac:dyDescent="0.15"/>
    <row r="478" spans="1:1" ht="15.75" customHeight="1" x14ac:dyDescent="0.15"/>
    <row r="479" spans="1:1" ht="15.75" customHeight="1" x14ac:dyDescent="0.15"/>
    <row r="480" spans="1:1" ht="15.75" customHeight="1" x14ac:dyDescent="0.15"/>
    <row r="481" spans="1:1" ht="15.75" customHeight="1" x14ac:dyDescent="0.15"/>
    <row r="482" spans="1:1" ht="15.75" customHeight="1" x14ac:dyDescent="0.15"/>
    <row r="483" spans="1:1" ht="15.75" customHeight="1" x14ac:dyDescent="0.15"/>
    <row r="484" spans="1:1" ht="15.75" customHeight="1" x14ac:dyDescent="0.15"/>
    <row r="485" spans="1:1" ht="15.75" customHeight="1" x14ac:dyDescent="0.15"/>
    <row r="486" spans="1:1" ht="15.75" customHeight="1" x14ac:dyDescent="0.15"/>
    <row r="487" spans="1:1" ht="15.75" customHeight="1" x14ac:dyDescent="0.15"/>
    <row r="488" spans="1:1" ht="15.75" customHeight="1" x14ac:dyDescent="0.15"/>
    <row r="489" spans="1:1" ht="15.75" customHeight="1" x14ac:dyDescent="0.15"/>
    <row r="490" spans="1:1" ht="15.75" customHeight="1" x14ac:dyDescent="0.15"/>
    <row r="491" spans="1:1" ht="15.75" customHeight="1" x14ac:dyDescent="0.15"/>
    <row r="492" spans="1:1" ht="15.75" customHeight="1" x14ac:dyDescent="0.15"/>
    <row r="493" spans="1:1" ht="15.75" customHeight="1" x14ac:dyDescent="0.15"/>
    <row r="494" spans="1:1" ht="15.75" customHeight="1" x14ac:dyDescent="0.15"/>
    <row r="495" spans="1:1" ht="15.75" customHeight="1" x14ac:dyDescent="0.15"/>
    <row r="496" spans="1:1" ht="15.75" customHeight="1" x14ac:dyDescent="0.15"/>
    <row r="497" spans="1:1" ht="15.75" customHeight="1" x14ac:dyDescent="0.15"/>
    <row r="498" spans="1:1" ht="15.75" customHeight="1" x14ac:dyDescent="0.15"/>
    <row r="499" spans="1:1" ht="15.75" customHeight="1" x14ac:dyDescent="0.15"/>
    <row r="500" spans="1:1" ht="15.75" customHeight="1" x14ac:dyDescent="0.15"/>
    <row r="501" spans="1:1" ht="15.75" customHeight="1" x14ac:dyDescent="0.15"/>
    <row r="502" spans="1:1" ht="15.75" customHeight="1" x14ac:dyDescent="0.15"/>
    <row r="503" spans="1:1" ht="15.75" customHeight="1" x14ac:dyDescent="0.15"/>
    <row r="504" spans="1:1" ht="15.75" customHeight="1" x14ac:dyDescent="0.15"/>
    <row r="505" spans="1:1" ht="15.75" customHeight="1" x14ac:dyDescent="0.15"/>
    <row r="506" spans="1:1" ht="15.75" customHeight="1" x14ac:dyDescent="0.15"/>
    <row r="507" spans="1:1" ht="15.75" customHeight="1" x14ac:dyDescent="0.15"/>
    <row r="508" spans="1:1" ht="15.75" customHeight="1" x14ac:dyDescent="0.15"/>
    <row r="509" spans="1:1" ht="15.75" customHeight="1" x14ac:dyDescent="0.15"/>
    <row r="510" spans="1:1" ht="15.75" customHeight="1" x14ac:dyDescent="0.15"/>
    <row r="511" spans="1:1" ht="15.75" customHeight="1" x14ac:dyDescent="0.15"/>
    <row r="512" spans="1:1" ht="15.75" customHeight="1" x14ac:dyDescent="0.15"/>
    <row r="513" spans="1:1" ht="15.75" customHeight="1" x14ac:dyDescent="0.15"/>
    <row r="514" spans="1:1" ht="15.75" customHeight="1" x14ac:dyDescent="0.15"/>
    <row r="515" spans="1:1" ht="15.75" customHeight="1" x14ac:dyDescent="0.15"/>
    <row r="516" spans="1:1" ht="15.75" customHeight="1" x14ac:dyDescent="0.15"/>
    <row r="517" spans="1:1" ht="15.75" customHeight="1" x14ac:dyDescent="0.15"/>
    <row r="518" spans="1:1" ht="15.75" customHeight="1" x14ac:dyDescent="0.15"/>
    <row r="519" spans="1:1" ht="15.75" customHeight="1" x14ac:dyDescent="0.15"/>
    <row r="520" spans="1:1" ht="15.75" customHeight="1" x14ac:dyDescent="0.15"/>
    <row r="521" spans="1:1" ht="15.75" customHeight="1" x14ac:dyDescent="0.15"/>
    <row r="522" spans="1:1" ht="15.75" customHeight="1" x14ac:dyDescent="0.15"/>
    <row r="523" spans="1:1" ht="15.75" customHeight="1" x14ac:dyDescent="0.15"/>
    <row r="524" spans="1:1" ht="15.75" customHeight="1" x14ac:dyDescent="0.15"/>
    <row r="525" spans="1:1" ht="15.75" customHeight="1" x14ac:dyDescent="0.15"/>
    <row r="526" spans="1:1" ht="15.75" customHeight="1" x14ac:dyDescent="0.15"/>
    <row r="527" spans="1:1" ht="15.75" customHeight="1" x14ac:dyDescent="0.15"/>
    <row r="528" spans="1:1" ht="15.75" customHeight="1" x14ac:dyDescent="0.15"/>
    <row r="529" spans="1:1" ht="15.75" customHeight="1" x14ac:dyDescent="0.15"/>
    <row r="530" spans="1:1" ht="15.75" customHeight="1" x14ac:dyDescent="0.15"/>
    <row r="531" spans="1:1" ht="15.75" customHeight="1" x14ac:dyDescent="0.15"/>
    <row r="532" spans="1:1" ht="15.75" customHeight="1" x14ac:dyDescent="0.15"/>
    <row r="533" spans="1:1" ht="15.75" customHeight="1" x14ac:dyDescent="0.15"/>
    <row r="534" spans="1:1" ht="15.75" customHeight="1" x14ac:dyDescent="0.15"/>
    <row r="535" spans="1:1" ht="15.75" customHeight="1" x14ac:dyDescent="0.15"/>
    <row r="536" spans="1:1" ht="15.75" customHeight="1" x14ac:dyDescent="0.15"/>
    <row r="537" spans="1:1" ht="15.75" customHeight="1" x14ac:dyDescent="0.15"/>
    <row r="538" spans="1:1" ht="15.75" customHeight="1" x14ac:dyDescent="0.15"/>
    <row r="539" spans="1:1" ht="15.75" customHeight="1" x14ac:dyDescent="0.15"/>
    <row r="540" spans="1:1" ht="15.75" customHeight="1" x14ac:dyDescent="0.15"/>
    <row r="541" spans="1:1" ht="15.75" customHeight="1" x14ac:dyDescent="0.15"/>
    <row r="542" spans="1:1" ht="15.75" customHeight="1" x14ac:dyDescent="0.15"/>
    <row r="543" spans="1:1" ht="15.75" customHeight="1" x14ac:dyDescent="0.15"/>
    <row r="544" spans="1:1" ht="15.75" customHeight="1" x14ac:dyDescent="0.15"/>
    <row r="545" spans="1:1" ht="15.75" customHeight="1" x14ac:dyDescent="0.15"/>
    <row r="546" spans="1:1" ht="15.75" customHeight="1" x14ac:dyDescent="0.15"/>
    <row r="547" spans="1:1" ht="15.75" customHeight="1" x14ac:dyDescent="0.15"/>
    <row r="548" spans="1:1" ht="15.75" customHeight="1" x14ac:dyDescent="0.15"/>
    <row r="549" spans="1:1" ht="15.75" customHeight="1" x14ac:dyDescent="0.15"/>
    <row r="550" spans="1:1" ht="15.75" customHeight="1" x14ac:dyDescent="0.15"/>
    <row r="551" spans="1:1" ht="15.75" customHeight="1" x14ac:dyDescent="0.15"/>
    <row r="552" spans="1:1" ht="15.75" customHeight="1" x14ac:dyDescent="0.15"/>
    <row r="553" spans="1:1" ht="15.75" customHeight="1" x14ac:dyDescent="0.15"/>
    <row r="554" spans="1:1" ht="15.75" customHeight="1" x14ac:dyDescent="0.15"/>
    <row r="555" spans="1:1" ht="15.75" customHeight="1" x14ac:dyDescent="0.15"/>
    <row r="556" spans="1:1" ht="15.75" customHeight="1" x14ac:dyDescent="0.15"/>
    <row r="557" spans="1:1" ht="15.75" customHeight="1" x14ac:dyDescent="0.15"/>
    <row r="558" spans="1:1" ht="15.75" customHeight="1" x14ac:dyDescent="0.15"/>
    <row r="559" spans="1:1" ht="15.75" customHeight="1" x14ac:dyDescent="0.15"/>
    <row r="560" spans="1:1" ht="15.75" customHeight="1" x14ac:dyDescent="0.15"/>
    <row r="561" spans="1:1" ht="15.75" customHeight="1" x14ac:dyDescent="0.15"/>
    <row r="562" spans="1:1" ht="15.75" customHeight="1" x14ac:dyDescent="0.15"/>
    <row r="563" spans="1:1" ht="15.75" customHeight="1" x14ac:dyDescent="0.15"/>
    <row r="564" spans="1:1" ht="15.75" customHeight="1" x14ac:dyDescent="0.15"/>
    <row r="565" spans="1:1" ht="15.75" customHeight="1" x14ac:dyDescent="0.15"/>
    <row r="566" spans="1:1" ht="15.75" customHeight="1" x14ac:dyDescent="0.15"/>
    <row r="567" spans="1:1" ht="15.75" customHeight="1" x14ac:dyDescent="0.15"/>
    <row r="568" spans="1:1" ht="15.75" customHeight="1" x14ac:dyDescent="0.15"/>
    <row r="569" spans="1:1" ht="15.75" customHeight="1" x14ac:dyDescent="0.15"/>
    <row r="570" spans="1:1" ht="15.75" customHeight="1" x14ac:dyDescent="0.15"/>
    <row r="571" spans="1:1" ht="15.75" customHeight="1" x14ac:dyDescent="0.15"/>
    <row r="572" spans="1:1" ht="15.75" customHeight="1" x14ac:dyDescent="0.15"/>
    <row r="573" spans="1:1" ht="15.75" customHeight="1" x14ac:dyDescent="0.15"/>
    <row r="574" spans="1:1" ht="15.75" customHeight="1" x14ac:dyDescent="0.15"/>
    <row r="575" spans="1:1" ht="15.75" customHeight="1" x14ac:dyDescent="0.15"/>
    <row r="576" spans="1:1" ht="15.75" customHeight="1" x14ac:dyDescent="0.15"/>
    <row r="577" spans="1:1" ht="15.75" customHeight="1" x14ac:dyDescent="0.15"/>
    <row r="578" spans="1:1" ht="15.75" customHeight="1" x14ac:dyDescent="0.15"/>
    <row r="579" spans="1:1" ht="15.75" customHeight="1" x14ac:dyDescent="0.15"/>
    <row r="580" spans="1:1" ht="15.75" customHeight="1" x14ac:dyDescent="0.15"/>
    <row r="581" spans="1:1" ht="15.75" customHeight="1" x14ac:dyDescent="0.15"/>
    <row r="582" spans="1:1" ht="15.75" customHeight="1" x14ac:dyDescent="0.15"/>
    <row r="583" spans="1:1" ht="15.75" customHeight="1" x14ac:dyDescent="0.15"/>
    <row r="584" spans="1:1" ht="15.75" customHeight="1" x14ac:dyDescent="0.15"/>
    <row r="585" spans="1:1" ht="15.75" customHeight="1" x14ac:dyDescent="0.15"/>
    <row r="586" spans="1:1" ht="15.75" customHeight="1" x14ac:dyDescent="0.15"/>
    <row r="587" spans="1:1" ht="15.75" customHeight="1" x14ac:dyDescent="0.15"/>
    <row r="588" spans="1:1" ht="15.75" customHeight="1" x14ac:dyDescent="0.15"/>
    <row r="589" spans="1:1" ht="15.75" customHeight="1" x14ac:dyDescent="0.15"/>
    <row r="590" spans="1:1" ht="15.75" customHeight="1" x14ac:dyDescent="0.15"/>
    <row r="591" spans="1:1" ht="15.75" customHeight="1" x14ac:dyDescent="0.15"/>
    <row r="592" spans="1:1" ht="15.75" customHeight="1" x14ac:dyDescent="0.15"/>
    <row r="593" spans="1:1" ht="15.75" customHeight="1" x14ac:dyDescent="0.15"/>
    <row r="594" spans="1:1" ht="15.75" customHeight="1" x14ac:dyDescent="0.15"/>
    <row r="595" spans="1:1" ht="15.75" customHeight="1" x14ac:dyDescent="0.15"/>
    <row r="596" spans="1:1" ht="15.75" customHeight="1" x14ac:dyDescent="0.15"/>
    <row r="597" spans="1:1" ht="15.75" customHeight="1" x14ac:dyDescent="0.15"/>
    <row r="598" spans="1:1" ht="15.75" customHeight="1" x14ac:dyDescent="0.15"/>
    <row r="599" spans="1:1" ht="15.75" customHeight="1" x14ac:dyDescent="0.15"/>
    <row r="600" spans="1:1" ht="15.75" customHeight="1" x14ac:dyDescent="0.15"/>
    <row r="601" spans="1:1" ht="15.75" customHeight="1" x14ac:dyDescent="0.15"/>
    <row r="602" spans="1:1" ht="15.75" customHeight="1" x14ac:dyDescent="0.15"/>
    <row r="603" spans="1:1" ht="15.75" customHeight="1" x14ac:dyDescent="0.15"/>
    <row r="604" spans="1:1" ht="15.75" customHeight="1" x14ac:dyDescent="0.15"/>
    <row r="605" spans="1:1" ht="15.75" customHeight="1" x14ac:dyDescent="0.15"/>
    <row r="606" spans="1:1" ht="15.75" customHeight="1" x14ac:dyDescent="0.15"/>
    <row r="607" spans="1:1" ht="15.75" customHeight="1" x14ac:dyDescent="0.15"/>
    <row r="608" spans="1:1" ht="15.75" customHeight="1" x14ac:dyDescent="0.15"/>
    <row r="609" spans="1:1" ht="15.75" customHeight="1" x14ac:dyDescent="0.15"/>
    <row r="610" spans="1:1" ht="15.75" customHeight="1" x14ac:dyDescent="0.15"/>
    <row r="611" spans="1:1" ht="15.75" customHeight="1" x14ac:dyDescent="0.15"/>
    <row r="612" spans="1:1" ht="15.75" customHeight="1" x14ac:dyDescent="0.15"/>
    <row r="613" spans="1:1" ht="15.75" customHeight="1" x14ac:dyDescent="0.15"/>
    <row r="614" spans="1:1" ht="15.75" customHeight="1" x14ac:dyDescent="0.15"/>
    <row r="615" spans="1:1" ht="15.75" customHeight="1" x14ac:dyDescent="0.15"/>
    <row r="616" spans="1:1" ht="15.75" customHeight="1" x14ac:dyDescent="0.15"/>
    <row r="617" spans="1:1" ht="15.75" customHeight="1" x14ac:dyDescent="0.15"/>
    <row r="618" spans="1:1" ht="15.75" customHeight="1" x14ac:dyDescent="0.15"/>
    <row r="619" spans="1:1" ht="15.75" customHeight="1" x14ac:dyDescent="0.15"/>
    <row r="620" spans="1:1" ht="15.75" customHeight="1" x14ac:dyDescent="0.15"/>
    <row r="621" spans="1:1" ht="15.75" customHeight="1" x14ac:dyDescent="0.15"/>
    <row r="622" spans="1:1" ht="15.75" customHeight="1" x14ac:dyDescent="0.15"/>
    <row r="623" spans="1:1" ht="15.75" customHeight="1" x14ac:dyDescent="0.15"/>
    <row r="624" spans="1:1" ht="15.75" customHeight="1" x14ac:dyDescent="0.15"/>
    <row r="625" spans="1:1" ht="15.75" customHeight="1" x14ac:dyDescent="0.15"/>
    <row r="626" spans="1:1" ht="15.75" customHeight="1" x14ac:dyDescent="0.15"/>
    <row r="627" spans="1:1" ht="15.75" customHeight="1" x14ac:dyDescent="0.15"/>
    <row r="628" spans="1:1" ht="15.75" customHeight="1" x14ac:dyDescent="0.15"/>
    <row r="629" spans="1:1" ht="15.75" customHeight="1" x14ac:dyDescent="0.15"/>
    <row r="630" spans="1:1" ht="15.75" customHeight="1" x14ac:dyDescent="0.15"/>
    <row r="631" spans="1:1" ht="15.75" customHeight="1" x14ac:dyDescent="0.15"/>
    <row r="632" spans="1:1" ht="15.75" customHeight="1" x14ac:dyDescent="0.15"/>
    <row r="633" spans="1:1" ht="15.75" customHeight="1" x14ac:dyDescent="0.15"/>
    <row r="634" spans="1:1" ht="15.75" customHeight="1" x14ac:dyDescent="0.15"/>
    <row r="635" spans="1:1" ht="15.75" customHeight="1" x14ac:dyDescent="0.15"/>
    <row r="636" spans="1:1" ht="15.75" customHeight="1" x14ac:dyDescent="0.15"/>
    <row r="637" spans="1:1" ht="15.75" customHeight="1" x14ac:dyDescent="0.15"/>
    <row r="638" spans="1:1" ht="15.75" customHeight="1" x14ac:dyDescent="0.15"/>
    <row r="639" spans="1:1" ht="15.75" customHeight="1" x14ac:dyDescent="0.15"/>
    <row r="640" spans="1:1" ht="15.75" customHeight="1" x14ac:dyDescent="0.15"/>
    <row r="641" spans="1:1" ht="15.75" customHeight="1" x14ac:dyDescent="0.15"/>
    <row r="642" spans="1:1" ht="15.75" customHeight="1" x14ac:dyDescent="0.15"/>
    <row r="643" spans="1:1" ht="15.75" customHeight="1" x14ac:dyDescent="0.15"/>
    <row r="644" spans="1:1" ht="15.75" customHeight="1" x14ac:dyDescent="0.15"/>
    <row r="645" spans="1:1" ht="15.75" customHeight="1" x14ac:dyDescent="0.15"/>
    <row r="646" spans="1:1" ht="15.75" customHeight="1" x14ac:dyDescent="0.15"/>
    <row r="647" spans="1:1" ht="15.75" customHeight="1" x14ac:dyDescent="0.15"/>
    <row r="648" spans="1:1" ht="15.75" customHeight="1" x14ac:dyDescent="0.15"/>
    <row r="649" spans="1:1" ht="15.75" customHeight="1" x14ac:dyDescent="0.15"/>
    <row r="650" spans="1:1" ht="15.75" customHeight="1" x14ac:dyDescent="0.15"/>
    <row r="651" spans="1:1" ht="15.75" customHeight="1" x14ac:dyDescent="0.15"/>
    <row r="652" spans="1:1" ht="15.75" customHeight="1" x14ac:dyDescent="0.15"/>
    <row r="653" spans="1:1" ht="15.75" customHeight="1" x14ac:dyDescent="0.15"/>
    <row r="654" spans="1:1" ht="15.75" customHeight="1" x14ac:dyDescent="0.15"/>
    <row r="655" spans="1:1" ht="15.75" customHeight="1" x14ac:dyDescent="0.15"/>
    <row r="656" spans="1:1" ht="15.75" customHeight="1" x14ac:dyDescent="0.15"/>
    <row r="657" spans="1:1" ht="15.75" customHeight="1" x14ac:dyDescent="0.15"/>
    <row r="658" spans="1:1" ht="15.75" customHeight="1" x14ac:dyDescent="0.15"/>
    <row r="659" spans="1:1" ht="15.75" customHeight="1" x14ac:dyDescent="0.15"/>
    <row r="660" spans="1:1" ht="15.75" customHeight="1" x14ac:dyDescent="0.15"/>
    <row r="661" spans="1:1" ht="15.75" customHeight="1" x14ac:dyDescent="0.15"/>
    <row r="662" spans="1:1" ht="15.75" customHeight="1" x14ac:dyDescent="0.15"/>
    <row r="663" spans="1:1" ht="15.75" customHeight="1" x14ac:dyDescent="0.15"/>
    <row r="664" spans="1:1" ht="15.75" customHeight="1" x14ac:dyDescent="0.15"/>
    <row r="665" spans="1:1" ht="15.75" customHeight="1" x14ac:dyDescent="0.15"/>
    <row r="666" spans="1:1" ht="15.75" customHeight="1" x14ac:dyDescent="0.15"/>
    <row r="667" spans="1:1" ht="15.75" customHeight="1" x14ac:dyDescent="0.15"/>
    <row r="668" spans="1:1" ht="15.75" customHeight="1" x14ac:dyDescent="0.15"/>
    <row r="669" spans="1:1" ht="15.75" customHeight="1" x14ac:dyDescent="0.15"/>
    <row r="670" spans="1:1" ht="15.75" customHeight="1" x14ac:dyDescent="0.15"/>
    <row r="671" spans="1:1" ht="15.75" customHeight="1" x14ac:dyDescent="0.15"/>
    <row r="672" spans="1:1" ht="15.75" customHeight="1" x14ac:dyDescent="0.15"/>
    <row r="673" spans="1:1" ht="15.75" customHeight="1" x14ac:dyDescent="0.15"/>
    <row r="674" spans="1:1" ht="15.75" customHeight="1" x14ac:dyDescent="0.15"/>
    <row r="675" spans="1:1" ht="15.75" customHeight="1" x14ac:dyDescent="0.15"/>
    <row r="676" spans="1:1" ht="15.75" customHeight="1" x14ac:dyDescent="0.15"/>
    <row r="677" spans="1:1" ht="15.75" customHeight="1" x14ac:dyDescent="0.15"/>
    <row r="678" spans="1:1" ht="15.75" customHeight="1" x14ac:dyDescent="0.15"/>
    <row r="679" spans="1:1" ht="15.75" customHeight="1" x14ac:dyDescent="0.15"/>
    <row r="680" spans="1:1" ht="15.75" customHeight="1" x14ac:dyDescent="0.15"/>
    <row r="681" spans="1:1" ht="15.75" customHeight="1" x14ac:dyDescent="0.15"/>
    <row r="682" spans="1:1" ht="15.75" customHeight="1" x14ac:dyDescent="0.15"/>
    <row r="683" spans="1:1" ht="15.75" customHeight="1" x14ac:dyDescent="0.15"/>
    <row r="684" spans="1:1" ht="15.75" customHeight="1" x14ac:dyDescent="0.15"/>
    <row r="685" spans="1:1" ht="15.75" customHeight="1" x14ac:dyDescent="0.15"/>
    <row r="686" spans="1:1" ht="15.75" customHeight="1" x14ac:dyDescent="0.15"/>
    <row r="687" spans="1:1" ht="15.75" customHeight="1" x14ac:dyDescent="0.15"/>
    <row r="688" spans="1:1" ht="15.75" customHeight="1" x14ac:dyDescent="0.15"/>
    <row r="689" spans="1:1" ht="15.75" customHeight="1" x14ac:dyDescent="0.15"/>
    <row r="690" spans="1:1" ht="15.75" customHeight="1" x14ac:dyDescent="0.15"/>
    <row r="691" spans="1:1" ht="15.75" customHeight="1" x14ac:dyDescent="0.15"/>
    <row r="692" spans="1:1" ht="15.75" customHeight="1" x14ac:dyDescent="0.15"/>
    <row r="693" spans="1:1" ht="15.75" customHeight="1" x14ac:dyDescent="0.15"/>
    <row r="694" spans="1:1" ht="15.75" customHeight="1" x14ac:dyDescent="0.15"/>
    <row r="695" spans="1:1" ht="15.75" customHeight="1" x14ac:dyDescent="0.15"/>
    <row r="696" spans="1:1" ht="15.75" customHeight="1" x14ac:dyDescent="0.15"/>
    <row r="697" spans="1:1" ht="15.75" customHeight="1" x14ac:dyDescent="0.15"/>
    <row r="698" spans="1:1" ht="15.75" customHeight="1" x14ac:dyDescent="0.15"/>
    <row r="699" spans="1:1" ht="15.75" customHeight="1" x14ac:dyDescent="0.15"/>
    <row r="700" spans="1:1" ht="15.75" customHeight="1" x14ac:dyDescent="0.15"/>
    <row r="701" spans="1:1" ht="15.75" customHeight="1" x14ac:dyDescent="0.15"/>
    <row r="702" spans="1:1" ht="15.75" customHeight="1" x14ac:dyDescent="0.15"/>
    <row r="703" spans="1:1" ht="15.75" customHeight="1" x14ac:dyDescent="0.15"/>
    <row r="704" spans="1:1" ht="15.75" customHeight="1" x14ac:dyDescent="0.15"/>
    <row r="705" spans="1:1" ht="15.75" customHeight="1" x14ac:dyDescent="0.15"/>
    <row r="706" spans="1:1" ht="15.75" customHeight="1" x14ac:dyDescent="0.15"/>
    <row r="707" spans="1:1" ht="15.75" customHeight="1" x14ac:dyDescent="0.15"/>
    <row r="708" spans="1:1" ht="15.75" customHeight="1" x14ac:dyDescent="0.15"/>
    <row r="709" spans="1:1" ht="15.75" customHeight="1" x14ac:dyDescent="0.15"/>
    <row r="710" spans="1:1" ht="15.75" customHeight="1" x14ac:dyDescent="0.15"/>
    <row r="711" spans="1:1" ht="15.75" customHeight="1" x14ac:dyDescent="0.15"/>
    <row r="712" spans="1:1" ht="15.75" customHeight="1" x14ac:dyDescent="0.15"/>
    <row r="713" spans="1:1" ht="15.75" customHeight="1" x14ac:dyDescent="0.15"/>
    <row r="714" spans="1:1" ht="15.75" customHeight="1" x14ac:dyDescent="0.15"/>
    <row r="715" spans="1:1" ht="15.75" customHeight="1" x14ac:dyDescent="0.15"/>
    <row r="716" spans="1:1" ht="15.75" customHeight="1" x14ac:dyDescent="0.15"/>
    <row r="717" spans="1:1" ht="15.75" customHeight="1" x14ac:dyDescent="0.15"/>
    <row r="718" spans="1:1" ht="15.75" customHeight="1" x14ac:dyDescent="0.15"/>
    <row r="719" spans="1:1" ht="15.75" customHeight="1" x14ac:dyDescent="0.15"/>
    <row r="720" spans="1:1" ht="15.75" customHeight="1" x14ac:dyDescent="0.15"/>
    <row r="721" spans="1:1" ht="15.75" customHeight="1" x14ac:dyDescent="0.15"/>
    <row r="722" spans="1:1" ht="15.75" customHeight="1" x14ac:dyDescent="0.15"/>
    <row r="723" spans="1:1" ht="15.75" customHeight="1" x14ac:dyDescent="0.15"/>
    <row r="724" spans="1:1" ht="15.75" customHeight="1" x14ac:dyDescent="0.15"/>
    <row r="725" spans="1:1" ht="15.75" customHeight="1" x14ac:dyDescent="0.15"/>
    <row r="726" spans="1:1" ht="15.75" customHeight="1" x14ac:dyDescent="0.15"/>
    <row r="727" spans="1:1" ht="15.75" customHeight="1" x14ac:dyDescent="0.15"/>
    <row r="728" spans="1:1" ht="15.75" customHeight="1" x14ac:dyDescent="0.15"/>
    <row r="729" spans="1:1" ht="15.75" customHeight="1" x14ac:dyDescent="0.15"/>
    <row r="730" spans="1:1" ht="15.75" customHeight="1" x14ac:dyDescent="0.15"/>
    <row r="731" spans="1:1" ht="15.75" customHeight="1" x14ac:dyDescent="0.15"/>
    <row r="732" spans="1:1" ht="15.75" customHeight="1" x14ac:dyDescent="0.15"/>
    <row r="733" spans="1:1" ht="15.75" customHeight="1" x14ac:dyDescent="0.15"/>
    <row r="734" spans="1:1" ht="15.75" customHeight="1" x14ac:dyDescent="0.15"/>
    <row r="735" spans="1:1" ht="15.75" customHeight="1" x14ac:dyDescent="0.15"/>
    <row r="736" spans="1:1" ht="15.75" customHeight="1" x14ac:dyDescent="0.15"/>
    <row r="737" spans="1:1" ht="15.75" customHeight="1" x14ac:dyDescent="0.15"/>
    <row r="738" spans="1:1" ht="15.75" customHeight="1" x14ac:dyDescent="0.15"/>
    <row r="739" spans="1:1" ht="15.75" customHeight="1" x14ac:dyDescent="0.15"/>
    <row r="740" spans="1:1" ht="15.75" customHeight="1" x14ac:dyDescent="0.15"/>
    <row r="741" spans="1:1" ht="15.75" customHeight="1" x14ac:dyDescent="0.15"/>
    <row r="742" spans="1:1" ht="15.75" customHeight="1" x14ac:dyDescent="0.15"/>
    <row r="743" spans="1:1" ht="15.75" customHeight="1" x14ac:dyDescent="0.15"/>
    <row r="744" spans="1:1" ht="15.75" customHeight="1" x14ac:dyDescent="0.15"/>
    <row r="745" spans="1:1" ht="15.75" customHeight="1" x14ac:dyDescent="0.15"/>
    <row r="746" spans="1:1" ht="15.75" customHeight="1" x14ac:dyDescent="0.15"/>
    <row r="747" spans="1:1" ht="15.75" customHeight="1" x14ac:dyDescent="0.15"/>
    <row r="748" spans="1:1" ht="15.75" customHeight="1" x14ac:dyDescent="0.15"/>
    <row r="749" spans="1:1" ht="15.75" customHeight="1" x14ac:dyDescent="0.15"/>
    <row r="750" spans="1:1" ht="15.75" customHeight="1" x14ac:dyDescent="0.15"/>
    <row r="751" spans="1:1" ht="15.75" customHeight="1" x14ac:dyDescent="0.15"/>
    <row r="752" spans="1:1" ht="15.75" customHeight="1" x14ac:dyDescent="0.15"/>
    <row r="753" spans="1:1" ht="15.75" customHeight="1" x14ac:dyDescent="0.15"/>
    <row r="754" spans="1:1" ht="15.75" customHeight="1" x14ac:dyDescent="0.15"/>
    <row r="755" spans="1:1" ht="15.75" customHeight="1" x14ac:dyDescent="0.15"/>
    <row r="756" spans="1:1" ht="15.75" customHeight="1" x14ac:dyDescent="0.15"/>
    <row r="757" spans="1:1" ht="15.75" customHeight="1" x14ac:dyDescent="0.15"/>
    <row r="758" spans="1:1" ht="15.75" customHeight="1" x14ac:dyDescent="0.15"/>
    <row r="759" spans="1:1" ht="15.75" customHeight="1" x14ac:dyDescent="0.15"/>
    <row r="760" spans="1:1" ht="15.75" customHeight="1" x14ac:dyDescent="0.15"/>
    <row r="761" spans="1:1" ht="15.75" customHeight="1" x14ac:dyDescent="0.15"/>
    <row r="762" spans="1:1" ht="15.75" customHeight="1" x14ac:dyDescent="0.15"/>
    <row r="763" spans="1:1" ht="15.75" customHeight="1" x14ac:dyDescent="0.15"/>
    <row r="764" spans="1:1" ht="15.75" customHeight="1" x14ac:dyDescent="0.15"/>
    <row r="765" spans="1:1" ht="15.75" customHeight="1" x14ac:dyDescent="0.15"/>
    <row r="766" spans="1:1" ht="15.75" customHeight="1" x14ac:dyDescent="0.15"/>
    <row r="767" spans="1:1" ht="15.75" customHeight="1" x14ac:dyDescent="0.15"/>
    <row r="768" spans="1:1" ht="15.75" customHeight="1" x14ac:dyDescent="0.15"/>
    <row r="769" spans="1:1" ht="15.75" customHeight="1" x14ac:dyDescent="0.15"/>
    <row r="770" spans="1:1" ht="15.75" customHeight="1" x14ac:dyDescent="0.15"/>
    <row r="771" spans="1:1" ht="15.75" customHeight="1" x14ac:dyDescent="0.15"/>
    <row r="772" spans="1:1" ht="15.75" customHeight="1" x14ac:dyDescent="0.15"/>
    <row r="773" spans="1:1" ht="15.75" customHeight="1" x14ac:dyDescent="0.15"/>
    <row r="774" spans="1:1" ht="15.75" customHeight="1" x14ac:dyDescent="0.15"/>
    <row r="775" spans="1:1" ht="15.75" customHeight="1" x14ac:dyDescent="0.15"/>
    <row r="776" spans="1:1" ht="15.75" customHeight="1" x14ac:dyDescent="0.15"/>
    <row r="777" spans="1:1" ht="15.75" customHeight="1" x14ac:dyDescent="0.15"/>
    <row r="778" spans="1:1" ht="15.75" customHeight="1" x14ac:dyDescent="0.15"/>
    <row r="779" spans="1:1" ht="15.75" customHeight="1" x14ac:dyDescent="0.15"/>
    <row r="780" spans="1:1" ht="15.75" customHeight="1" x14ac:dyDescent="0.15"/>
    <row r="781" spans="1:1" ht="15.75" customHeight="1" x14ac:dyDescent="0.15"/>
    <row r="782" spans="1:1" ht="15.75" customHeight="1" x14ac:dyDescent="0.15"/>
    <row r="783" spans="1:1" ht="15.75" customHeight="1" x14ac:dyDescent="0.15"/>
    <row r="784" spans="1:1" ht="15.75" customHeight="1" x14ac:dyDescent="0.15"/>
    <row r="785" spans="1:1" ht="15.75" customHeight="1" x14ac:dyDescent="0.15"/>
    <row r="786" spans="1:1" ht="15.75" customHeight="1" x14ac:dyDescent="0.15"/>
    <row r="787" spans="1:1" ht="15.75" customHeight="1" x14ac:dyDescent="0.15"/>
    <row r="788" spans="1:1" ht="15.75" customHeight="1" x14ac:dyDescent="0.15"/>
    <row r="789" spans="1:1" ht="15.75" customHeight="1" x14ac:dyDescent="0.15"/>
    <row r="790" spans="1:1" ht="15.75" customHeight="1" x14ac:dyDescent="0.15"/>
    <row r="791" spans="1:1" ht="15.75" customHeight="1" x14ac:dyDescent="0.15"/>
    <row r="792" spans="1:1" ht="15.75" customHeight="1" x14ac:dyDescent="0.15"/>
    <row r="793" spans="1:1" ht="15.75" customHeight="1" x14ac:dyDescent="0.15"/>
    <row r="794" spans="1:1" ht="15.75" customHeight="1" x14ac:dyDescent="0.15"/>
    <row r="795" spans="1:1" ht="15.75" customHeight="1" x14ac:dyDescent="0.15"/>
    <row r="796" spans="1:1" ht="15.75" customHeight="1" x14ac:dyDescent="0.15"/>
    <row r="797" spans="1:1" ht="15.75" customHeight="1" x14ac:dyDescent="0.15"/>
    <row r="798" spans="1:1" ht="15.75" customHeight="1" x14ac:dyDescent="0.15"/>
    <row r="799" spans="1:1" ht="15.75" customHeight="1" x14ac:dyDescent="0.15"/>
    <row r="800" spans="1:1" ht="15.75" customHeight="1" x14ac:dyDescent="0.15"/>
    <row r="801" spans="1:1" ht="15.75" customHeight="1" x14ac:dyDescent="0.15"/>
    <row r="802" spans="1:1" ht="15.75" customHeight="1" x14ac:dyDescent="0.15"/>
    <row r="803" spans="1:1" ht="15.75" customHeight="1" x14ac:dyDescent="0.15"/>
    <row r="804" spans="1:1" ht="15.75" customHeight="1" x14ac:dyDescent="0.15"/>
    <row r="805" spans="1:1" ht="15.75" customHeight="1" x14ac:dyDescent="0.15"/>
    <row r="806" spans="1:1" ht="15.75" customHeight="1" x14ac:dyDescent="0.15"/>
    <row r="807" spans="1:1" ht="15.75" customHeight="1" x14ac:dyDescent="0.15"/>
    <row r="808" spans="1:1" ht="15.75" customHeight="1" x14ac:dyDescent="0.15"/>
    <row r="809" spans="1:1" ht="15.75" customHeight="1" x14ac:dyDescent="0.15"/>
    <row r="810" spans="1:1" ht="15.75" customHeight="1" x14ac:dyDescent="0.15"/>
    <row r="811" spans="1:1" ht="15.75" customHeight="1" x14ac:dyDescent="0.15"/>
    <row r="812" spans="1:1" ht="15.75" customHeight="1" x14ac:dyDescent="0.15"/>
    <row r="813" spans="1:1" ht="15.75" customHeight="1" x14ac:dyDescent="0.15"/>
    <row r="814" spans="1:1" ht="15.75" customHeight="1" x14ac:dyDescent="0.15"/>
    <row r="815" spans="1:1" ht="15.75" customHeight="1" x14ac:dyDescent="0.15"/>
    <row r="816" spans="1:1" ht="15.75" customHeight="1" x14ac:dyDescent="0.15"/>
    <row r="817" spans="1:1" ht="15.75" customHeight="1" x14ac:dyDescent="0.15"/>
    <row r="818" spans="1:1" ht="15.75" customHeight="1" x14ac:dyDescent="0.15"/>
    <row r="819" spans="1:1" ht="15.75" customHeight="1" x14ac:dyDescent="0.15"/>
    <row r="820" spans="1:1" ht="15.75" customHeight="1" x14ac:dyDescent="0.15"/>
    <row r="821" spans="1:1" ht="15.75" customHeight="1" x14ac:dyDescent="0.15"/>
    <row r="822" spans="1:1" ht="15.75" customHeight="1" x14ac:dyDescent="0.15"/>
    <row r="823" spans="1:1" ht="15.75" customHeight="1" x14ac:dyDescent="0.15"/>
    <row r="824" spans="1:1" ht="15.75" customHeight="1" x14ac:dyDescent="0.15"/>
    <row r="825" spans="1:1" ht="15.75" customHeight="1" x14ac:dyDescent="0.15"/>
    <row r="826" spans="1:1" ht="15.75" customHeight="1" x14ac:dyDescent="0.15"/>
    <row r="827" spans="1:1" ht="15.75" customHeight="1" x14ac:dyDescent="0.15"/>
    <row r="828" spans="1:1" ht="15.75" customHeight="1" x14ac:dyDescent="0.15"/>
    <row r="829" spans="1:1" ht="15.75" customHeight="1" x14ac:dyDescent="0.15"/>
    <row r="830" spans="1:1" ht="15.75" customHeight="1" x14ac:dyDescent="0.15"/>
    <row r="831" spans="1:1" ht="15.75" customHeight="1" x14ac:dyDescent="0.15"/>
    <row r="832" spans="1:1" ht="15.75" customHeight="1" x14ac:dyDescent="0.15"/>
    <row r="833" spans="1:1" ht="15.75" customHeight="1" x14ac:dyDescent="0.15"/>
    <row r="834" spans="1:1" ht="15.75" customHeight="1" x14ac:dyDescent="0.15"/>
    <row r="835" spans="1:1" ht="15.75" customHeight="1" x14ac:dyDescent="0.15"/>
    <row r="836" spans="1:1" ht="15.75" customHeight="1" x14ac:dyDescent="0.15"/>
    <row r="837" spans="1:1" ht="15.75" customHeight="1" x14ac:dyDescent="0.15"/>
    <row r="838" spans="1:1" ht="15.75" customHeight="1" x14ac:dyDescent="0.15"/>
    <row r="839" spans="1:1" ht="15.75" customHeight="1" x14ac:dyDescent="0.15"/>
    <row r="840" spans="1:1" ht="15.75" customHeight="1" x14ac:dyDescent="0.15"/>
    <row r="841" spans="1:1" ht="15.75" customHeight="1" x14ac:dyDescent="0.15"/>
    <row r="842" spans="1:1" ht="15.75" customHeight="1" x14ac:dyDescent="0.15"/>
    <row r="843" spans="1:1" ht="15.75" customHeight="1" x14ac:dyDescent="0.15"/>
    <row r="844" spans="1:1" ht="15.75" customHeight="1" x14ac:dyDescent="0.15"/>
    <row r="845" spans="1:1" ht="15.75" customHeight="1" x14ac:dyDescent="0.15"/>
    <row r="846" spans="1:1" ht="15.75" customHeight="1" x14ac:dyDescent="0.15"/>
    <row r="847" spans="1:1" ht="15.75" customHeight="1" x14ac:dyDescent="0.15"/>
    <row r="848" spans="1:1" ht="15.75" customHeight="1" x14ac:dyDescent="0.15"/>
    <row r="849" spans="1:1" ht="15.75" customHeight="1" x14ac:dyDescent="0.15"/>
    <row r="850" spans="1:1" ht="15.75" customHeight="1" x14ac:dyDescent="0.15"/>
    <row r="851" spans="1:1" ht="15.75" customHeight="1" x14ac:dyDescent="0.15"/>
    <row r="852" spans="1:1" ht="15.75" customHeight="1" x14ac:dyDescent="0.15"/>
    <row r="853" spans="1:1" ht="15.75" customHeight="1" x14ac:dyDescent="0.15"/>
    <row r="854" spans="1:1" ht="15.75" customHeight="1" x14ac:dyDescent="0.15"/>
    <row r="855" spans="1:1" ht="15.75" customHeight="1" x14ac:dyDescent="0.15"/>
    <row r="856" spans="1:1" ht="15.75" customHeight="1" x14ac:dyDescent="0.15"/>
    <row r="857" spans="1:1" ht="15.75" customHeight="1" x14ac:dyDescent="0.15"/>
    <row r="858" spans="1:1" ht="15.75" customHeight="1" x14ac:dyDescent="0.15"/>
    <row r="859" spans="1:1" ht="15.75" customHeight="1" x14ac:dyDescent="0.15"/>
    <row r="860" spans="1:1" ht="15.75" customHeight="1" x14ac:dyDescent="0.15"/>
    <row r="861" spans="1:1" ht="15.75" customHeight="1" x14ac:dyDescent="0.15"/>
    <row r="862" spans="1:1" ht="15.75" customHeight="1" x14ac:dyDescent="0.15"/>
    <row r="863" spans="1:1" ht="15.75" customHeight="1" x14ac:dyDescent="0.15"/>
    <row r="864" spans="1:1" ht="15.75" customHeight="1" x14ac:dyDescent="0.15"/>
    <row r="865" spans="1:1" ht="15.75" customHeight="1" x14ac:dyDescent="0.15"/>
    <row r="866" spans="1:1" ht="15.75" customHeight="1" x14ac:dyDescent="0.15"/>
    <row r="867" spans="1:1" ht="15.75" customHeight="1" x14ac:dyDescent="0.15"/>
    <row r="868" spans="1:1" ht="15.75" customHeight="1" x14ac:dyDescent="0.15"/>
    <row r="869" spans="1:1" ht="15.75" customHeight="1" x14ac:dyDescent="0.15"/>
    <row r="870" spans="1:1" ht="15.75" customHeight="1" x14ac:dyDescent="0.15"/>
    <row r="871" spans="1:1" ht="15.75" customHeight="1" x14ac:dyDescent="0.15"/>
    <row r="872" spans="1:1" ht="15.75" customHeight="1" x14ac:dyDescent="0.15"/>
    <row r="873" spans="1:1" ht="15.75" customHeight="1" x14ac:dyDescent="0.15"/>
    <row r="874" spans="1:1" ht="15.75" customHeight="1" x14ac:dyDescent="0.15"/>
    <row r="875" spans="1:1" ht="15.75" customHeight="1" x14ac:dyDescent="0.15"/>
    <row r="876" spans="1:1" ht="15.75" customHeight="1" x14ac:dyDescent="0.15"/>
    <row r="877" spans="1:1" ht="15.75" customHeight="1" x14ac:dyDescent="0.15"/>
    <row r="878" spans="1:1" ht="15.75" customHeight="1" x14ac:dyDescent="0.15"/>
    <row r="879" spans="1:1" ht="15.75" customHeight="1" x14ac:dyDescent="0.15"/>
    <row r="880" spans="1:1" ht="15.75" customHeight="1" x14ac:dyDescent="0.15"/>
    <row r="881" spans="1:1" ht="15.75" customHeight="1" x14ac:dyDescent="0.15"/>
    <row r="882" spans="1:1" ht="15.75" customHeight="1" x14ac:dyDescent="0.15"/>
    <row r="883" spans="1:1" ht="15.75" customHeight="1" x14ac:dyDescent="0.15"/>
    <row r="884" spans="1:1" ht="15.75" customHeight="1" x14ac:dyDescent="0.15"/>
    <row r="885" spans="1:1" ht="15.75" customHeight="1" x14ac:dyDescent="0.15"/>
    <row r="886" spans="1:1" ht="15.75" customHeight="1" x14ac:dyDescent="0.15"/>
    <row r="887" spans="1:1" ht="15.75" customHeight="1" x14ac:dyDescent="0.15"/>
    <row r="888" spans="1:1" ht="15.75" customHeight="1" x14ac:dyDescent="0.15"/>
    <row r="889" spans="1:1" ht="15.75" customHeight="1" x14ac:dyDescent="0.15"/>
    <row r="890" spans="1:1" ht="15.75" customHeight="1" x14ac:dyDescent="0.15"/>
    <row r="891" spans="1:1" ht="15.75" customHeight="1" x14ac:dyDescent="0.15"/>
    <row r="892" spans="1:1" ht="15.75" customHeight="1" x14ac:dyDescent="0.15"/>
    <row r="893" spans="1:1" ht="15.75" customHeight="1" x14ac:dyDescent="0.15"/>
    <row r="894" spans="1:1" ht="15.75" customHeight="1" x14ac:dyDescent="0.15"/>
    <row r="895" spans="1:1" ht="15.75" customHeight="1" x14ac:dyDescent="0.15"/>
    <row r="896" spans="1:1" ht="15.75" customHeight="1" x14ac:dyDescent="0.15"/>
    <row r="897" spans="1:1" ht="15.75" customHeight="1" x14ac:dyDescent="0.15"/>
    <row r="898" spans="1:1" ht="15.75" customHeight="1" x14ac:dyDescent="0.15"/>
    <row r="899" spans="1:1" ht="15.75" customHeight="1" x14ac:dyDescent="0.15"/>
    <row r="900" spans="1:1" ht="15.75" customHeight="1" x14ac:dyDescent="0.15"/>
    <row r="901" spans="1:1" ht="15.75" customHeight="1" x14ac:dyDescent="0.15"/>
    <row r="902" spans="1:1" ht="15.75" customHeight="1" x14ac:dyDescent="0.15"/>
    <row r="903" spans="1:1" ht="15.75" customHeight="1" x14ac:dyDescent="0.15"/>
    <row r="904" spans="1:1" ht="15.75" customHeight="1" x14ac:dyDescent="0.15"/>
    <row r="905" spans="1:1" ht="15.75" customHeight="1" x14ac:dyDescent="0.15"/>
    <row r="906" spans="1:1" ht="15.75" customHeight="1" x14ac:dyDescent="0.15"/>
    <row r="907" spans="1:1" ht="15.75" customHeight="1" x14ac:dyDescent="0.15"/>
    <row r="908" spans="1:1" ht="15.75" customHeight="1" x14ac:dyDescent="0.15"/>
    <row r="909" spans="1:1" ht="15.75" customHeight="1" x14ac:dyDescent="0.15"/>
    <row r="910" spans="1:1" ht="15.75" customHeight="1" x14ac:dyDescent="0.15"/>
    <row r="911" spans="1:1" ht="15.75" customHeight="1" x14ac:dyDescent="0.15"/>
    <row r="912" spans="1:1" ht="15.75" customHeight="1" x14ac:dyDescent="0.15"/>
    <row r="913" spans="1:1" ht="15.75" customHeight="1" x14ac:dyDescent="0.15"/>
    <row r="914" spans="1:1" ht="15.75" customHeight="1" x14ac:dyDescent="0.15"/>
    <row r="915" spans="1:1" ht="15.75" customHeight="1" x14ac:dyDescent="0.15"/>
    <row r="916" spans="1:1" ht="15.75" customHeight="1" x14ac:dyDescent="0.15"/>
    <row r="917" spans="1:1" ht="15.75" customHeight="1" x14ac:dyDescent="0.15"/>
    <row r="918" spans="1:1" ht="15.75" customHeight="1" x14ac:dyDescent="0.15"/>
    <row r="919" spans="1:1" ht="15.75" customHeight="1" x14ac:dyDescent="0.15"/>
    <row r="920" spans="1:1" ht="15.75" customHeight="1" x14ac:dyDescent="0.15"/>
    <row r="921" spans="1:1" ht="15.75" customHeight="1" x14ac:dyDescent="0.15"/>
    <row r="922" spans="1:1" ht="15.75" customHeight="1" x14ac:dyDescent="0.15"/>
    <row r="923" spans="1:1" ht="15.75" customHeight="1" x14ac:dyDescent="0.15"/>
    <row r="924" spans="1:1" ht="15.75" customHeight="1" x14ac:dyDescent="0.15"/>
    <row r="925" spans="1:1" ht="15.75" customHeight="1" x14ac:dyDescent="0.15"/>
    <row r="926" spans="1:1" ht="15.75" customHeight="1" x14ac:dyDescent="0.15"/>
    <row r="927" spans="1:1" ht="15.75" customHeight="1" x14ac:dyDescent="0.15"/>
    <row r="928" spans="1:1" ht="15.75" customHeight="1" x14ac:dyDescent="0.15"/>
    <row r="929" spans="1:1" ht="15.75" customHeight="1" x14ac:dyDescent="0.15"/>
    <row r="930" spans="1:1" ht="15.75" customHeight="1" x14ac:dyDescent="0.15"/>
    <row r="931" spans="1:1" ht="15.75" customHeight="1" x14ac:dyDescent="0.15"/>
    <row r="932" spans="1:1" ht="15.75" customHeight="1" x14ac:dyDescent="0.15"/>
    <row r="933" spans="1:1" ht="15.75" customHeight="1" x14ac:dyDescent="0.15"/>
    <row r="934" spans="1:1" ht="15.75" customHeight="1" x14ac:dyDescent="0.15"/>
    <row r="935" spans="1:1" ht="15.75" customHeight="1" x14ac:dyDescent="0.15"/>
    <row r="936" spans="1:1" ht="15.75" customHeight="1" x14ac:dyDescent="0.15"/>
    <row r="937" spans="1:1" ht="15.75" customHeight="1" x14ac:dyDescent="0.15"/>
    <row r="938" spans="1:1" ht="15.75" customHeight="1" x14ac:dyDescent="0.15"/>
    <row r="939" spans="1:1" ht="15.75" customHeight="1" x14ac:dyDescent="0.15"/>
    <row r="940" spans="1:1" ht="15.75" customHeight="1" x14ac:dyDescent="0.15"/>
    <row r="941" spans="1:1" ht="15.75" customHeight="1" x14ac:dyDescent="0.15"/>
    <row r="942" spans="1:1" ht="15.75" customHeight="1" x14ac:dyDescent="0.15"/>
    <row r="943" spans="1:1" ht="15.75" customHeight="1" x14ac:dyDescent="0.15"/>
    <row r="944" spans="1:1" ht="15.75" customHeight="1" x14ac:dyDescent="0.15"/>
    <row r="945" spans="1:1" ht="15.75" customHeight="1" x14ac:dyDescent="0.15"/>
    <row r="946" spans="1:1" ht="15.75" customHeight="1" x14ac:dyDescent="0.15"/>
    <row r="947" spans="1:1" ht="15.75" customHeight="1" x14ac:dyDescent="0.15"/>
    <row r="948" spans="1:1" ht="15.75" customHeight="1" x14ac:dyDescent="0.15"/>
    <row r="949" spans="1:1" ht="15.75" customHeight="1" x14ac:dyDescent="0.15"/>
    <row r="950" spans="1:1" ht="15.75" customHeight="1" x14ac:dyDescent="0.15"/>
    <row r="951" spans="1:1" ht="15.75" customHeight="1" x14ac:dyDescent="0.15"/>
    <row r="952" spans="1:1" ht="15.75" customHeight="1" x14ac:dyDescent="0.15"/>
    <row r="953" spans="1:1" ht="15.75" customHeight="1" x14ac:dyDescent="0.15"/>
    <row r="954" spans="1:1" ht="15.75" customHeight="1" x14ac:dyDescent="0.15"/>
    <row r="955" spans="1:1" ht="15.75" customHeight="1" x14ac:dyDescent="0.15"/>
    <row r="956" spans="1:1" ht="15.75" customHeight="1" x14ac:dyDescent="0.15"/>
    <row r="957" spans="1:1" ht="15.75" customHeight="1" x14ac:dyDescent="0.15"/>
    <row r="958" spans="1:1" ht="15.75" customHeight="1" x14ac:dyDescent="0.15"/>
    <row r="959" spans="1:1" ht="15.75" customHeight="1" x14ac:dyDescent="0.15"/>
    <row r="960" spans="1:1" ht="15.75" customHeight="1" x14ac:dyDescent="0.15"/>
    <row r="961" spans="1:1" ht="15.75" customHeight="1" x14ac:dyDescent="0.15"/>
    <row r="962" spans="1:1" ht="15.75" customHeight="1" x14ac:dyDescent="0.15"/>
    <row r="963" spans="1:1" ht="15.75" customHeight="1" x14ac:dyDescent="0.15"/>
    <row r="964" spans="1:1" ht="15.75" customHeight="1" x14ac:dyDescent="0.15"/>
    <row r="965" spans="1:1" ht="15.75" customHeight="1" x14ac:dyDescent="0.15"/>
    <row r="966" spans="1:1" ht="15.75" customHeight="1" x14ac:dyDescent="0.15"/>
    <row r="967" spans="1:1" ht="15.75" customHeight="1" x14ac:dyDescent="0.15"/>
    <row r="968" spans="1:1" ht="15.75" customHeight="1" x14ac:dyDescent="0.15"/>
    <row r="969" spans="1:1" ht="15.75" customHeight="1" x14ac:dyDescent="0.15"/>
    <row r="970" spans="1:1" ht="15.75" customHeight="1" x14ac:dyDescent="0.15"/>
    <row r="971" spans="1:1" ht="15.75" customHeight="1" x14ac:dyDescent="0.15"/>
    <row r="972" spans="1:1" ht="15.75" customHeight="1" x14ac:dyDescent="0.15"/>
    <row r="973" spans="1:1" ht="15.75" customHeight="1" x14ac:dyDescent="0.15"/>
    <row r="974" spans="1:1" ht="15.75" customHeight="1" x14ac:dyDescent="0.15"/>
    <row r="975" spans="1:1" ht="15.75" customHeight="1" x14ac:dyDescent="0.15"/>
    <row r="976" spans="1:1" ht="15.75" customHeight="1" x14ac:dyDescent="0.15"/>
    <row r="977" spans="1:1" ht="15.75" customHeight="1" x14ac:dyDescent="0.15"/>
    <row r="978" spans="1:1" ht="15.75" customHeight="1" x14ac:dyDescent="0.15"/>
    <row r="979" spans="1:1" ht="15.75" customHeight="1" x14ac:dyDescent="0.15"/>
    <row r="980" spans="1:1" ht="15.75" customHeight="1" x14ac:dyDescent="0.15"/>
    <row r="981" spans="1:1" ht="15.75" customHeight="1" x14ac:dyDescent="0.15"/>
    <row r="982" spans="1:1" ht="15.75" customHeight="1" x14ac:dyDescent="0.15"/>
    <row r="983" spans="1:1" ht="15.75" customHeight="1" x14ac:dyDescent="0.15"/>
    <row r="984" spans="1:1" ht="15.75" customHeight="1" x14ac:dyDescent="0.15"/>
    <row r="985" spans="1:1" ht="15.75" customHeight="1" x14ac:dyDescent="0.15"/>
    <row r="986" spans="1:1" ht="15.75" customHeight="1" x14ac:dyDescent="0.15"/>
    <row r="987" spans="1:1" ht="15.75" customHeight="1" x14ac:dyDescent="0.15"/>
    <row r="988" spans="1:1" ht="15.75" customHeight="1" x14ac:dyDescent="0.15"/>
    <row r="989" spans="1:1" ht="15.75" customHeight="1" x14ac:dyDescent="0.15"/>
    <row r="990" spans="1:1" ht="15.75" customHeight="1" x14ac:dyDescent="0.15"/>
    <row r="991" spans="1:1" ht="15.75" customHeight="1" x14ac:dyDescent="0.15"/>
    <row r="992" spans="1:1" ht="15.75" customHeight="1" x14ac:dyDescent="0.15"/>
    <row r="993" spans="1:1" ht="15.75" customHeight="1" x14ac:dyDescent="0.15"/>
    <row r="994" spans="1:1" ht="15.75" customHeight="1" x14ac:dyDescent="0.15"/>
    <row r="995" spans="1:1" ht="15.75" customHeight="1" x14ac:dyDescent="0.15"/>
    <row r="996" spans="1:1" ht="15.75" customHeight="1" x14ac:dyDescent="0.15"/>
    <row r="997" spans="1:1" ht="15.75" customHeight="1" x14ac:dyDescent="0.15"/>
    <row r="998" spans="1:1" ht="15.75" customHeight="1" x14ac:dyDescent="0.15"/>
    <row r="999" spans="1:1" ht="15.75" customHeight="1" x14ac:dyDescent="0.15"/>
    <row r="1000" spans="1:1" ht="15.75" customHeight="1" x14ac:dyDescent="0.15"/>
    <row r="1001" spans="1:1" ht="15.75" customHeight="1" x14ac:dyDescent="0.15"/>
    <row r="1002" spans="1:1" ht="15.75" customHeight="1" x14ac:dyDescent="0.15"/>
    <row r="1003" spans="1:1" ht="15.75" customHeight="1" x14ac:dyDescent="0.15"/>
    <row r="1004" spans="1:1" ht="15.75" customHeight="1" x14ac:dyDescent="0.15"/>
    <row r="1005" spans="1:1" ht="15.75" customHeight="1" x14ac:dyDescent="0.15"/>
    <row r="1006" spans="1:1" ht="15.75" customHeight="1" x14ac:dyDescent="0.15"/>
    <row r="1007" spans="1:1" ht="15.75" customHeight="1" x14ac:dyDescent="0.15"/>
    <row r="1008" spans="1:1" ht="15.75" customHeight="1" x14ac:dyDescent="0.15"/>
    <row r="1009" spans="1:1" ht="15.75" customHeight="1" x14ac:dyDescent="0.15"/>
    <row r="1010" spans="1:1" ht="15.75" customHeight="1" x14ac:dyDescent="0.15"/>
    <row r="1011" spans="1:1" ht="15.75" customHeight="1" x14ac:dyDescent="0.15"/>
    <row r="1012" spans="1:1" ht="15.75" customHeight="1" x14ac:dyDescent="0.15"/>
    <row r="1013" spans="1:1" ht="15.75" customHeight="1" x14ac:dyDescent="0.15"/>
    <row r="1014" spans="1:1" ht="15.75" customHeight="1" x14ac:dyDescent="0.15"/>
    <row r="1015" spans="1:1" ht="15.75" customHeight="1" x14ac:dyDescent="0.15"/>
    <row r="1016" spans="1:1" ht="15.75" customHeight="1" x14ac:dyDescent="0.15"/>
    <row r="1017" spans="1:1" ht="15.75" customHeight="1" x14ac:dyDescent="0.15"/>
    <row r="1018" spans="1:1" ht="15.75" customHeight="1" x14ac:dyDescent="0.15"/>
    <row r="1019" spans="1:1" ht="15.75" customHeight="1" x14ac:dyDescent="0.15"/>
    <row r="1020" spans="1:1" ht="15.75" customHeight="1" x14ac:dyDescent="0.15"/>
    <row r="1021" spans="1:1" ht="15.75" customHeight="1" x14ac:dyDescent="0.15"/>
    <row r="1022" spans="1:1" ht="15.75" customHeight="1" x14ac:dyDescent="0.15"/>
    <row r="1023" spans="1:1" ht="15.75" customHeight="1" x14ac:dyDescent="0.15"/>
    <row r="1024" spans="1:1" ht="15.75" customHeight="1" x14ac:dyDescent="0.15"/>
    <row r="1025" spans="1:1" ht="15.75" customHeight="1" x14ac:dyDescent="0.15"/>
    <row r="1026" spans="1:1" ht="15.75" customHeight="1" x14ac:dyDescent="0.15"/>
    <row r="1027" spans="1:1" ht="15.75" customHeight="1" x14ac:dyDescent="0.15"/>
    <row r="1028" spans="1:1" ht="15.75" customHeight="1" x14ac:dyDescent="0.15"/>
    <row r="1029" spans="1:1" ht="15.75" customHeight="1" x14ac:dyDescent="0.15"/>
    <row r="1030" spans="1:1" ht="15.75" customHeight="1" x14ac:dyDescent="0.15"/>
    <row r="1031" spans="1:1" ht="15.75" customHeight="1" x14ac:dyDescent="0.15"/>
    <row r="1032" spans="1:1" ht="15.75" customHeight="1" x14ac:dyDescent="0.15"/>
    <row r="1033" spans="1:1" ht="15.75" customHeight="1" x14ac:dyDescent="0.15"/>
    <row r="1034" spans="1:1" ht="15.75" customHeight="1" x14ac:dyDescent="0.15"/>
    <row r="1035" spans="1:1" ht="15.75" customHeight="1" x14ac:dyDescent="0.15"/>
    <row r="1036" spans="1:1" ht="15.75" customHeight="1" x14ac:dyDescent="0.15"/>
    <row r="1037" spans="1:1" ht="15.75" customHeight="1" x14ac:dyDescent="0.15"/>
    <row r="1038" spans="1:1" ht="15.75" customHeight="1" x14ac:dyDescent="0.15"/>
    <row r="1039" spans="1:1" ht="15.75" customHeight="1" x14ac:dyDescent="0.15"/>
    <row r="1040" spans="1:1" ht="15.75" customHeight="1" x14ac:dyDescent="0.15"/>
    <row r="1041" spans="1:1" ht="15.75" customHeight="1" x14ac:dyDescent="0.15"/>
    <row r="1042" spans="1:1" ht="15.75" customHeight="1" x14ac:dyDescent="0.15"/>
    <row r="1043" spans="1:1" ht="15.75" customHeight="1" x14ac:dyDescent="0.15"/>
    <row r="1044" spans="1:1" ht="15.75" customHeight="1" x14ac:dyDescent="0.15"/>
    <row r="1045" spans="1:1" ht="15.75" customHeight="1" x14ac:dyDescent="0.15"/>
    <row r="1046" spans="1:1" ht="15.75" customHeight="1" x14ac:dyDescent="0.15"/>
    <row r="1047" spans="1:1" ht="15.75" customHeight="1" x14ac:dyDescent="0.15"/>
    <row r="1048" spans="1:1" ht="15.75" customHeight="1" x14ac:dyDescent="0.15"/>
    <row r="1049" spans="1:1" ht="15.75" customHeight="1" x14ac:dyDescent="0.15"/>
    <row r="1050" spans="1:1" ht="15.75" customHeight="1" x14ac:dyDescent="0.15"/>
    <row r="1051" spans="1:1" ht="15.75" customHeight="1" x14ac:dyDescent="0.15"/>
  </sheetData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Y220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" width="19.0" customWidth="1"/>
    <col min="2" max="4" width="12.571428571428571" customWidth="1"/>
    <col min="5" max="5" width="38.857142857142854" customWidth="1"/>
    <col min="6" max="6" width="31.285714285714285" customWidth="1"/>
    <col min="7" max="7" width="29.428571428571427" customWidth="1"/>
    <col min="8" max="8" width="24.285714285714285" customWidth="1"/>
    <col min="9" max="25" width="12.571428571428571" customWidth="1"/>
  </cols>
  <sheetData>
    <row r="1" spans="1:25" ht="15.75" customHeight="1" x14ac:dyDescent="0.15">
      <c r="A1" s="40" t="s">
        <v>0</v>
      </c>
      <c r="B1" s="41" t="s">
        <v>1</v>
      </c>
      <c r="C1" s="41" t="s">
        <v>2</v>
      </c>
      <c r="D1" s="41" t="s">
        <v>31</v>
      </c>
      <c r="E1" s="41" t="s">
        <v>32</v>
      </c>
      <c r="F1" s="41" t="s">
        <v>4</v>
      </c>
      <c r="G1" s="41" t="s">
        <v>5</v>
      </c>
      <c r="H1" s="40" t="s">
        <v>6</v>
      </c>
      <c r="I1" s="40" t="s">
        <v>33</v>
      </c>
      <c r="J1" s="42" t="s">
        <v>8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15">
      <c r="A2" s="44">
        <v>46041.50121527778</v>
      </c>
      <c r="B2" s="41"/>
      <c r="C2" s="41"/>
      <c r="D2" s="41" t="s">
        <v>877</v>
      </c>
      <c r="E2" s="41" t="s">
        <v>35</v>
      </c>
      <c r="F2" s="41" t="s">
        <v>10</v>
      </c>
      <c r="G2" s="41" t="s">
        <v>36</v>
      </c>
      <c r="H2" s="40" t="s">
        <v>37</v>
      </c>
      <c r="I2" s="40" t="s">
        <v>12</v>
      </c>
      <c r="J2" s="42" t="s">
        <v>38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15.75" customHeight="1" x14ac:dyDescent="0.15">
      <c r="A3" s="44">
        <v>46041.56545138889</v>
      </c>
      <c r="B3" s="41" t="s">
        <v>878</v>
      </c>
      <c r="C3" s="41" t="s">
        <v>45</v>
      </c>
      <c r="D3" s="41" t="s">
        <v>879</v>
      </c>
      <c r="E3" s="41" t="s">
        <v>51</v>
      </c>
      <c r="F3" s="41" t="s">
        <v>753</v>
      </c>
      <c r="G3" s="41" t="s">
        <v>754</v>
      </c>
      <c r="H3" s="40">
        <v>3.1614540653E10</v>
      </c>
      <c r="I3" s="40">
        <v>6.14540653E8</v>
      </c>
      <c r="J3" s="42" t="s">
        <v>755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15.75" customHeight="1" x14ac:dyDescent="0.15">
      <c r="A4" s="44">
        <v>46041.83603009259</v>
      </c>
      <c r="B4" s="41" t="s">
        <v>878</v>
      </c>
      <c r="C4" s="41" t="s">
        <v>15</v>
      </c>
      <c r="D4" s="41" t="s">
        <v>879</v>
      </c>
      <c r="E4" s="41" t="s">
        <v>47</v>
      </c>
      <c r="F4" s="41" t="s">
        <v>880</v>
      </c>
      <c r="G4" s="41" t="s">
        <v>881</v>
      </c>
      <c r="H4" s="40">
        <v>3.670541656E10</v>
      </c>
      <c r="I4" s="40">
        <v>3.670541656E10</v>
      </c>
      <c r="J4" s="42" t="s">
        <v>109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ht="15.75" customHeight="1" x14ac:dyDescent="0.15">
      <c r="A5" s="44">
        <v>46041.977326388886</v>
      </c>
      <c r="B5" s="41" t="s">
        <v>878</v>
      </c>
      <c r="C5" s="41" t="s">
        <v>15</v>
      </c>
      <c r="D5" s="41" t="s">
        <v>50</v>
      </c>
      <c r="E5" s="41" t="s">
        <v>47</v>
      </c>
      <c r="F5" s="41" t="s">
        <v>882</v>
      </c>
      <c r="G5" s="41" t="s">
        <v>883</v>
      </c>
      <c r="H5" s="40">
        <v>4.47864337427E11</v>
      </c>
      <c r="I5" s="40">
        <v>4.47864337427E11</v>
      </c>
      <c r="J5" s="42" t="s">
        <v>100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15.75" customHeight="1" x14ac:dyDescent="0.15">
      <c r="A6" s="44">
        <v>46042.59358796296</v>
      </c>
      <c r="B6" s="41" t="s">
        <v>878</v>
      </c>
      <c r="C6" s="41" t="s">
        <v>809</v>
      </c>
      <c r="D6" s="41" t="s">
        <v>879</v>
      </c>
      <c r="E6" s="41" t="s">
        <v>51</v>
      </c>
      <c r="F6" s="41" t="s">
        <v>884</v>
      </c>
      <c r="G6" s="41" t="s">
        <v>885</v>
      </c>
      <c r="H6" s="40">
        <v>3.6707237011E10</v>
      </c>
      <c r="I6" s="40">
        <v>3.6707237011E10</v>
      </c>
      <c r="J6" s="42" t="s">
        <v>109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ht="15.75" customHeight="1" x14ac:dyDescent="0.15">
      <c r="A7" s="44">
        <v>46042.67884259259</v>
      </c>
      <c r="B7" s="41" t="s">
        <v>878</v>
      </c>
      <c r="C7" s="41" t="s">
        <v>15</v>
      </c>
      <c r="D7" s="41" t="s">
        <v>50</v>
      </c>
      <c r="E7" s="41" t="s">
        <v>47</v>
      </c>
      <c r="F7" s="41" t="s">
        <v>886</v>
      </c>
      <c r="G7" s="41" t="s">
        <v>887</v>
      </c>
      <c r="H7" s="40">
        <v>3.6304620423E10</v>
      </c>
      <c r="I7" s="40">
        <v>4.96304620423E11</v>
      </c>
      <c r="J7" s="42" t="s">
        <v>109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ht="15.75" customHeight="1" x14ac:dyDescent="0.15">
      <c r="A8" s="44">
        <v>46042.81263888889</v>
      </c>
      <c r="B8" s="41" t="s">
        <v>878</v>
      </c>
      <c r="C8" s="41" t="s">
        <v>15</v>
      </c>
      <c r="D8" s="41" t="s">
        <v>879</v>
      </c>
      <c r="E8" s="41" t="s">
        <v>41</v>
      </c>
      <c r="F8" s="41" t="s">
        <v>760</v>
      </c>
      <c r="G8" s="41" t="s">
        <v>761</v>
      </c>
      <c r="H8" s="40">
        <v>4.917610019197E12</v>
      </c>
      <c r="I8" s="40">
        <v>3.5262174741E11</v>
      </c>
      <c r="J8" s="42" t="s">
        <v>134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ht="15.75" customHeight="1" x14ac:dyDescent="0.15">
      <c r="A9" s="44">
        <v>46043.26143518519</v>
      </c>
      <c r="B9" s="41" t="s">
        <v>878</v>
      </c>
      <c r="C9" s="41" t="s">
        <v>45</v>
      </c>
      <c r="D9" s="41" t="s">
        <v>50</v>
      </c>
      <c r="E9" s="41" t="s">
        <v>47</v>
      </c>
      <c r="F9" s="41" t="s">
        <v>888</v>
      </c>
      <c r="G9" s="41" t="s">
        <v>889</v>
      </c>
      <c r="H9" s="40">
        <v>4.536206765E9</v>
      </c>
      <c r="I9" s="40">
        <v>4.536206765E9</v>
      </c>
      <c r="J9" s="42" t="s">
        <v>759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15.75" customHeight="1" x14ac:dyDescent="0.15">
      <c r="A10" s="44">
        <v>46043.561064814814</v>
      </c>
      <c r="B10" s="41" t="s">
        <v>878</v>
      </c>
      <c r="C10" s="41" t="s">
        <v>15</v>
      </c>
      <c r="D10" s="41" t="s">
        <v>879</v>
      </c>
      <c r="E10" s="41" t="s">
        <v>418</v>
      </c>
      <c r="F10" s="41" t="s">
        <v>890</v>
      </c>
      <c r="G10" s="41" t="s">
        <v>891</v>
      </c>
      <c r="H10" s="40">
        <v>4.591643827E9</v>
      </c>
      <c r="I10" s="40">
        <v>4.591643827E9</v>
      </c>
      <c r="J10" s="42" t="s">
        <v>759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ht="15.75" customHeight="1" x14ac:dyDescent="0.15">
      <c r="A11" s="44">
        <v>46043.68715277778</v>
      </c>
      <c r="B11" s="41" t="s">
        <v>878</v>
      </c>
      <c r="C11" s="41" t="s">
        <v>15</v>
      </c>
      <c r="D11" s="41" t="s">
        <v>421</v>
      </c>
      <c r="E11" s="41" t="s">
        <v>446</v>
      </c>
      <c r="F11" s="41" t="s">
        <v>892</v>
      </c>
      <c r="G11" s="41" t="s">
        <v>893</v>
      </c>
      <c r="H11" s="40">
        <v>4.55084842E9</v>
      </c>
      <c r="I11" s="40">
        <v>4.55084842E9</v>
      </c>
      <c r="J11" s="42" t="s">
        <v>759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15.75" customHeight="1" x14ac:dyDescent="0.15">
      <c r="A12" s="44">
        <v>46043.750706018516</v>
      </c>
      <c r="B12" s="41" t="s">
        <v>878</v>
      </c>
      <c r="C12" s="41" t="s">
        <v>15</v>
      </c>
      <c r="D12" s="41" t="s">
        <v>50</v>
      </c>
      <c r="E12" s="41" t="s">
        <v>47</v>
      </c>
      <c r="F12" s="41" t="s">
        <v>894</v>
      </c>
      <c r="G12" s="41" t="s">
        <v>895</v>
      </c>
      <c r="H12" s="40">
        <v>3.6703375103E10</v>
      </c>
      <c r="I12" s="40">
        <v>3.6703375103E10</v>
      </c>
      <c r="J12" s="42" t="s">
        <v>109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15.75" customHeight="1" x14ac:dyDescent="0.15">
      <c r="A13" s="44">
        <v>46043.78015046296</v>
      </c>
      <c r="B13" s="41" t="s">
        <v>878</v>
      </c>
      <c r="C13" s="41" t="s">
        <v>45</v>
      </c>
      <c r="D13" s="41" t="s">
        <v>50</v>
      </c>
      <c r="E13" s="41" t="s">
        <v>47</v>
      </c>
      <c r="F13" s="41" t="s">
        <v>896</v>
      </c>
      <c r="G13" s="41" t="s">
        <v>897</v>
      </c>
      <c r="H13" s="40">
        <v>3.6203462444E10</v>
      </c>
      <c r="I13" s="40">
        <v>3.6203462444E10</v>
      </c>
      <c r="J13" s="42" t="s">
        <v>109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ht="15.75" customHeight="1" x14ac:dyDescent="0.15">
      <c r="A14" s="44">
        <v>46043.79008101852</v>
      </c>
      <c r="B14" s="41" t="s">
        <v>878</v>
      </c>
      <c r="C14" s="41" t="s">
        <v>15</v>
      </c>
      <c r="D14" s="41" t="s">
        <v>879</v>
      </c>
      <c r="E14" s="41" t="s">
        <v>51</v>
      </c>
      <c r="F14" s="41" t="s">
        <v>898</v>
      </c>
      <c r="G14" s="41" t="s">
        <v>899</v>
      </c>
      <c r="H14" s="40">
        <v>4.6733037474E10</v>
      </c>
      <c r="I14" s="40">
        <v>4.6733037474E10</v>
      </c>
      <c r="J14" s="42" t="s">
        <v>789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ht="15.75" customHeight="1" x14ac:dyDescent="0.15">
      <c r="A15" s="44">
        <v>46043.79928240741</v>
      </c>
      <c r="B15" s="41" t="s">
        <v>878</v>
      </c>
      <c r="C15" s="41" t="s">
        <v>45</v>
      </c>
      <c r="D15" s="41" t="s">
        <v>421</v>
      </c>
      <c r="E15" s="41" t="s">
        <v>418</v>
      </c>
      <c r="F15" s="41" t="s">
        <v>900</v>
      </c>
      <c r="G15" s="41" t="s">
        <v>901</v>
      </c>
      <c r="H15" s="40">
        <v>4.670508605E10</v>
      </c>
      <c r="I15" s="40">
        <v>7.05086058E8</v>
      </c>
      <c r="J15" s="42" t="s">
        <v>789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ht="15.75" customHeight="1" x14ac:dyDescent="0.15">
      <c r="A16" s="44">
        <v>46043.945543981485</v>
      </c>
      <c r="B16" s="41" t="s">
        <v>878</v>
      </c>
      <c r="C16" s="41" t="s">
        <v>15</v>
      </c>
      <c r="D16" s="41" t="s">
        <v>50</v>
      </c>
      <c r="E16" s="41" t="s">
        <v>418</v>
      </c>
      <c r="F16" s="41" t="s">
        <v>902</v>
      </c>
      <c r="G16" s="41" t="s">
        <v>903</v>
      </c>
      <c r="H16" s="40">
        <v>3.6708040909E10</v>
      </c>
      <c r="I16" s="40">
        <v>3.6708040909E10</v>
      </c>
      <c r="J16" s="42" t="s">
        <v>109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ht="15.75" customHeight="1" x14ac:dyDescent="0.15">
      <c r="A17" s="44">
        <v>46044.29170138889</v>
      </c>
      <c r="B17" s="41" t="s">
        <v>878</v>
      </c>
      <c r="C17" s="41" t="s">
        <v>45</v>
      </c>
      <c r="D17" s="41" t="s">
        <v>50</v>
      </c>
      <c r="E17" s="41" t="s">
        <v>47</v>
      </c>
      <c r="F17" s="41" t="s">
        <v>904</v>
      </c>
      <c r="G17" s="41" t="s">
        <v>905</v>
      </c>
      <c r="H17" s="40">
        <v>4.6709185256E10</v>
      </c>
      <c r="I17" s="40">
        <v>4.6709185256E10</v>
      </c>
      <c r="J17" s="42" t="s">
        <v>906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15.75" customHeight="1" x14ac:dyDescent="0.15">
      <c r="A18" s="44">
        <v>46044.471238425926</v>
      </c>
      <c r="B18" s="41" t="s">
        <v>878</v>
      </c>
      <c r="C18" s="41" t="s">
        <v>45</v>
      </c>
      <c r="D18" s="41" t="s">
        <v>50</v>
      </c>
      <c r="E18" s="41" t="s">
        <v>47</v>
      </c>
      <c r="F18" s="41" t="s">
        <v>907</v>
      </c>
      <c r="G18" s="41" t="s">
        <v>908</v>
      </c>
      <c r="H18" s="40">
        <v>4.36766840108E11</v>
      </c>
      <c r="I18" s="40">
        <v>4.36766840108E11</v>
      </c>
      <c r="J18" s="42" t="s">
        <v>909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15.75" customHeight="1" x14ac:dyDescent="0.1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15.75" customHeight="1" x14ac:dyDescent="0.1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15.75" customHeight="1" x14ac:dyDescent="0.1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15.75" customHeight="1" x14ac:dyDescent="0.1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5.75" customHeight="1" x14ac:dyDescent="0.1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15.75" customHeight="1" x14ac:dyDescent="0.1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15.75" customHeight="1" x14ac:dyDescent="0.1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15.75" customHeight="1" x14ac:dyDescent="0.1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15.75" customHeight="1" x14ac:dyDescent="0.1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15.75" customHeight="1" x14ac:dyDescent="0.1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15.75" customHeight="1" x14ac:dyDescent="0.1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15.75" customHeight="1" x14ac:dyDescent="0.1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5.75" customHeight="1" x14ac:dyDescent="0.1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5.75" customHeight="1" x14ac:dyDescent="0.1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15.75" customHeight="1" x14ac:dyDescent="0.1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15.75" customHeight="1" x14ac:dyDescent="0.1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15.75" customHeight="1" x14ac:dyDescent="0.1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15.75" customHeight="1" x14ac:dyDescent="0.1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15.75" customHeight="1" x14ac:dyDescent="0.1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15.75" customHeight="1" x14ac:dyDescent="0.1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15.75" customHeight="1" x14ac:dyDescent="0.1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15.75" customHeight="1" x14ac:dyDescent="0.1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15.75" customHeight="1" x14ac:dyDescent="0.1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15.75" customHeight="1" x14ac:dyDescent="0.1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15.75" customHeight="1" x14ac:dyDescent="0.1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15.75" customHeight="1" x14ac:dyDescent="0.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15.75" customHeight="1" x14ac:dyDescent="0.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15.75" customHeight="1" x14ac:dyDescent="0.1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15.75" customHeight="1" x14ac:dyDescent="0.1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15.75" customHeight="1" x14ac:dyDescent="0.1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15.75" customHeight="1" x14ac:dyDescent="0.1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15.75" customHeight="1" x14ac:dyDescent="0.1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15.75" customHeight="1" x14ac:dyDescent="0.1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15.7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customHeight="1" x14ac:dyDescent="0.1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15.75" customHeight="1" x14ac:dyDescent="0.1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15.7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5.75" customHeight="1" x14ac:dyDescent="0.1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customHeight="1" x14ac:dyDescent="0.1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customHeight="1" x14ac:dyDescent="0.1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customHeight="1" x14ac:dyDescent="0.1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customHeight="1" x14ac:dyDescent="0.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customHeight="1" x14ac:dyDescent="0.1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customHeight="1" x14ac:dyDescent="0.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customHeight="1" x14ac:dyDescent="0.1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customHeight="1" x14ac:dyDescent="0.1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5.75" customHeight="1" x14ac:dyDescent="0.1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5.75" customHeight="1" x14ac:dyDescent="0.1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5.75" customHeight="1" x14ac:dyDescent="0.1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15.75" customHeight="1" x14ac:dyDescent="0.1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5.75" customHeight="1" x14ac:dyDescent="0.1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5.75" customHeight="1" x14ac:dyDescent="0.1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5.75" customHeight="1" x14ac:dyDescent="0.1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5.75" customHeight="1" x14ac:dyDescent="0.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5.75" customHeight="1" x14ac:dyDescent="0.1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5.75" customHeight="1" x14ac:dyDescent="0.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5.75" customHeight="1" x14ac:dyDescent="0.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5.75" customHeight="1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5.75" customHeight="1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5.75" customHeight="1" x14ac:dyDescent="0.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5.75" customHeight="1" x14ac:dyDescent="0.1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5.75" customHeight="1" x14ac:dyDescent="0.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5.75" customHeight="1" x14ac:dyDescent="0.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5.75" customHeight="1" x14ac:dyDescent="0.1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5.75" customHeight="1" x14ac:dyDescent="0.1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5.75" customHeight="1" x14ac:dyDescent="0.1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5.75" customHeight="1" x14ac:dyDescent="0.1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5.75" customHeight="1" x14ac:dyDescent="0.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5.75" customHeight="1" x14ac:dyDescent="0.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5.75" customHeight="1" x14ac:dyDescent="0.1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5.75" customHeight="1" x14ac:dyDescent="0.1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5.75" customHeight="1" x14ac:dyDescent="0.1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5.75" customHeight="1" x14ac:dyDescent="0.1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5.75" customHeight="1" x14ac:dyDescent="0.1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5.75" customHeight="1" x14ac:dyDescent="0.1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5.75" customHeight="1" x14ac:dyDescent="0.1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5.75" customHeight="1" x14ac:dyDescent="0.1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5.75" customHeight="1" x14ac:dyDescent="0.1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5.75" customHeight="1" x14ac:dyDescent="0.1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5.75" customHeight="1" x14ac:dyDescent="0.1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5.75" customHeight="1" x14ac:dyDescent="0.1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5.75" customHeight="1" x14ac:dyDescent="0.1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5.75" customHeight="1" x14ac:dyDescent="0.1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5.75" customHeight="1" x14ac:dyDescent="0.1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5.75" customHeight="1" x14ac:dyDescent="0.1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5.75" customHeight="1" x14ac:dyDescent="0.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5.75" customHeight="1" x14ac:dyDescent="0.1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5.75" customHeight="1" x14ac:dyDescent="0.1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5.75" customHeight="1" x14ac:dyDescent="0.1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5.75" customHeight="1" x14ac:dyDescent="0.1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5.75" customHeight="1" x14ac:dyDescent="0.1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5.75" customHeight="1" x14ac:dyDescent="0.1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5.75" customHeight="1" x14ac:dyDescent="0.1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5.75" customHeight="1" x14ac:dyDescent="0.1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5.75" customHeight="1" x14ac:dyDescent="0.1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5.75" customHeight="1" x14ac:dyDescent="0.1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5.75" customHeight="1" x14ac:dyDescent="0.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5.75" customHeight="1" x14ac:dyDescent="0.1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5.75" customHeight="1" x14ac:dyDescent="0.1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5.75" customHeight="1" x14ac:dyDescent="0.1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5.75" customHeight="1" x14ac:dyDescent="0.1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5.75" customHeight="1" x14ac:dyDescent="0.1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5.75" customHeight="1" x14ac:dyDescent="0.1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5.75" customHeight="1" x14ac:dyDescent="0.1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5.75" customHeight="1" x14ac:dyDescent="0.1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5.75" customHeight="1" x14ac:dyDescent="0.1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5.75" customHeight="1" x14ac:dyDescent="0.1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5.75" customHeight="1" x14ac:dyDescent="0.1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5.75" customHeight="1" x14ac:dyDescent="0.1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5.75" customHeight="1" x14ac:dyDescent="0.1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5.75" customHeight="1" x14ac:dyDescent="0.1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5.75" customHeight="1" x14ac:dyDescent="0.1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5.75" customHeight="1" x14ac:dyDescent="0.1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5.75" customHeight="1" x14ac:dyDescent="0.1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5.75" customHeight="1" x14ac:dyDescent="0.1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5.75" customHeight="1" x14ac:dyDescent="0.1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5.75" customHeight="1" x14ac:dyDescent="0.1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5.75" customHeight="1" x14ac:dyDescent="0.1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5.75" customHeight="1" x14ac:dyDescent="0.1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5.75" customHeight="1" x14ac:dyDescent="0.1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5.75" customHeight="1" x14ac:dyDescent="0.1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5.75" customHeight="1" x14ac:dyDescent="0.1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5.75" customHeight="1" x14ac:dyDescent="0.1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5.75" customHeight="1" x14ac:dyDescent="0.1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5.75" customHeight="1" x14ac:dyDescent="0.1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5.75" customHeight="1" x14ac:dyDescent="0.1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5.75" customHeight="1" x14ac:dyDescent="0.1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5.75" customHeight="1" x14ac:dyDescent="0.1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5.75" customHeight="1" x14ac:dyDescent="0.1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5.75" customHeight="1" x14ac:dyDescent="0.1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5.75" customHeight="1" x14ac:dyDescent="0.1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5.75" customHeight="1" x14ac:dyDescent="0.1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5.75" customHeight="1" x14ac:dyDescent="0.1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5.75" customHeight="1" x14ac:dyDescent="0.1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5.75" customHeight="1" x14ac:dyDescent="0.1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5.75" customHeight="1" x14ac:dyDescent="0.1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5.75" customHeight="1" x14ac:dyDescent="0.1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5.75" customHeight="1" x14ac:dyDescent="0.1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5.75" customHeight="1" x14ac:dyDescent="0.1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5.75" customHeight="1" x14ac:dyDescent="0.1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5.75" customHeight="1" x14ac:dyDescent="0.1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5.75" customHeight="1" x14ac:dyDescent="0.1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5.75" customHeight="1" x14ac:dyDescent="0.1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5.75" customHeight="1" x14ac:dyDescent="0.1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5.75" customHeight="1" x14ac:dyDescent="0.1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5.75" customHeight="1" x14ac:dyDescent="0.1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5.75" customHeight="1" x14ac:dyDescent="0.1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5.75" customHeight="1" x14ac:dyDescent="0.1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5.75" customHeight="1" x14ac:dyDescent="0.1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5.75" customHeight="1" x14ac:dyDescent="0.1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5.75" customHeight="1" x14ac:dyDescent="0.1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5.75" customHeight="1" x14ac:dyDescent="0.1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5.75" customHeight="1" x14ac:dyDescent="0.1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5.75" customHeight="1" x14ac:dyDescent="0.1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5.75" customHeight="1" x14ac:dyDescent="0.1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5.75" customHeight="1" x14ac:dyDescent="0.1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5.75" customHeight="1" x14ac:dyDescent="0.1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5.75" customHeight="1" x14ac:dyDescent="0.1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5.75" customHeight="1" x14ac:dyDescent="0.1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5.75" customHeight="1" x14ac:dyDescent="0.1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5.75" customHeight="1" x14ac:dyDescent="0.1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5.75" customHeight="1" x14ac:dyDescent="0.1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5.75" customHeight="1" x14ac:dyDescent="0.1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5.75" customHeight="1" x14ac:dyDescent="0.1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5.75" customHeight="1" x14ac:dyDescent="0.1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5.75" customHeight="1" x14ac:dyDescent="0.1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5.75" customHeight="1" x14ac:dyDescent="0.1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5.75" customHeight="1" x14ac:dyDescent="0.1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5.75" customHeight="1" x14ac:dyDescent="0.1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5.75" customHeight="1" x14ac:dyDescent="0.1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5.75" customHeight="1" x14ac:dyDescent="0.1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5.75" customHeight="1" x14ac:dyDescent="0.1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5.75" customHeight="1" x14ac:dyDescent="0.1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5.75" customHeight="1" x14ac:dyDescent="0.1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5.75" customHeight="1" x14ac:dyDescent="0.1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5.75" customHeight="1" x14ac:dyDescent="0.1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5.75" customHeight="1" x14ac:dyDescent="0.1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5.75" customHeight="1" x14ac:dyDescent="0.1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5.75" customHeight="1" x14ac:dyDescent="0.1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5.75" customHeight="1" x14ac:dyDescent="0.1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5.75" customHeight="1" x14ac:dyDescent="0.1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5.75" customHeight="1" x14ac:dyDescent="0.1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5.75" customHeight="1" x14ac:dyDescent="0.1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5.75" customHeight="1" x14ac:dyDescent="0.1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5.75" customHeight="1" x14ac:dyDescent="0.1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5.75" customHeight="1" x14ac:dyDescent="0.1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5.75" customHeight="1" x14ac:dyDescent="0.1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5.75" customHeight="1" x14ac:dyDescent="0.1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5.75" customHeight="1" x14ac:dyDescent="0.1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5.75" customHeight="1" x14ac:dyDescent="0.1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5.75" customHeight="1" x14ac:dyDescent="0.1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5.75" customHeight="1" x14ac:dyDescent="0.1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5.75" customHeight="1" x14ac:dyDescent="0.1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5.75" customHeight="1" x14ac:dyDescent="0.1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5.75" customHeight="1" x14ac:dyDescent="0.1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5.75" customHeight="1" x14ac:dyDescent="0.1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5.75" customHeight="1" x14ac:dyDescent="0.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5.75" customHeight="1" x14ac:dyDescent="0.1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5.75" customHeight="1" x14ac:dyDescent="0.1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5.75" customHeight="1" x14ac:dyDescent="0.1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5.75" customHeight="1" x14ac:dyDescent="0.1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5.75" customHeight="1" x14ac:dyDescent="0.1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</sheetData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modified xsi:type="dcterms:W3CDTF">2026-04-15T13:12:48Z</dcterms:modified>
</cp:coreProperties>
</file>